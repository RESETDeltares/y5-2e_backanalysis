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hauth\repositories\calibration\data\"/>
    </mc:Choice>
  </mc:AlternateContent>
  <xr:revisionPtr revIDLastSave="0" documentId="13_ncr:1_{5E50B709-7A22-4E43-BFBB-17B02EC547F2}" xr6:coauthVersionLast="47" xr6:coauthVersionMax="47" xr10:uidLastSave="{00000000-0000-0000-0000-000000000000}"/>
  <bookViews>
    <workbookView xWindow="28680" yWindow="-1950" windowWidth="29040" windowHeight="17520" activeTab="2" xr2:uid="{CDA393AC-A7B7-49A6-9D88-0A6077DF2C3F}"/>
  </bookViews>
  <sheets>
    <sheet name="Parametertabel" sheetId="1" r:id="rId1"/>
    <sheet name="Kleurtabel" sheetId="4" r:id="rId2"/>
    <sheet name="stochastic_parameters_LN" sheetId="2" r:id="rId3"/>
    <sheet name="stochastic_parameters_LN_add" sheetId="6" r:id="rId4"/>
    <sheet name="stochastic_parameters_LN_add_ol" sheetId="3" r:id="rId5"/>
    <sheet name="overview" sheetId="5" r:id="rId6"/>
  </sheets>
  <definedNames>
    <definedName name="_xlnm._FilterDatabase" localSheetId="0" hidden="1">Parametertabel!$A$2:$AB$68</definedName>
    <definedName name="Bijlage_02_x">#REF!</definedName>
    <definedName name="Bijlage_06_x">#REF!</definedName>
    <definedName name="Bijlage_13_tabel_6.1_phi">#REF!</definedName>
    <definedName name="Bijlage_13_Tabel_6.2_S">#REF!</definedName>
    <definedName name="Bijlage_13_Tabel_6.3_POP">#REF!</definedName>
    <definedName name="phi">#REF!</definedName>
    <definedName name="_xlnm.Print_Area" localSheetId="0">Parametertabel!$A$5:$AB$62</definedName>
    <definedName name="_xlnm.Print_Titles" localSheetId="0">Parametertabel!$A:$B,Parametertabel!$1:$4</definedName>
    <definedName name="T_c_eff">Parametertabel!$K$5:$K$68</definedName>
    <definedName name="T_cu_low">Parametertabel!$Q$5:$Q$68</definedName>
    <definedName name="T_cu_mean">Parametertabel!$R$5:$R$68</definedName>
    <definedName name="T_drained_undrained">Parametertabel!$F$5:$F$68</definedName>
    <definedName name="T_gamma_dry_high">Parametertabel!$H$5:$H$68</definedName>
    <definedName name="T_gamma_dry_low">Parametertabel!$G$5:$G$68</definedName>
    <definedName name="T_gamma_wet_high">Parametertabel!$J$5:$J$68</definedName>
    <definedName name="T_gamma_wet_low">Parametertabel!$I$5:$I$68</definedName>
    <definedName name="T_m_low">Parametertabel!$W$5:$W$68</definedName>
    <definedName name="T_m_mean">Parametertabel!$X$5:$X$68</definedName>
    <definedName name="T_phi_low">Parametertabel!$N$5:$N$68</definedName>
    <definedName name="T_phi_mean">Parametertabel!$O$5:$O$68</definedName>
    <definedName name="T_POP_low">Parametertabel!$Y$5:$Y$68</definedName>
    <definedName name="T_POP_mean">Parametertabel!$Z$5:$Z$68</definedName>
    <definedName name="T_psi">Parametertabel!$P$5:$P$68</definedName>
    <definedName name="T_S_low">Parametertabel!$U$5:$U$68</definedName>
    <definedName name="T_S_mean">Parametertabel!$V$5:$V$68</definedName>
    <definedName name="T_shansep_param">Parametertabel!$T$5:$T$68</definedName>
    <definedName name="T_Vs_high">Parametertabel!$AB$5</definedName>
    <definedName name="T_Vs_low">Parametertabel!$AA$5:$AA$68</definedName>
    <definedName name="TABEL">Parametertabel!$A$5:$AB$68</definedName>
    <definedName name="Tabel_expertgroep">#REF!</definedName>
    <definedName name="uc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4" i="2" l="1"/>
  <c r="H64" i="2"/>
  <c r="I64" i="2"/>
  <c r="J64" i="2"/>
  <c r="K64" i="2"/>
  <c r="L64" i="2"/>
  <c r="M64" i="2"/>
  <c r="N64" i="2"/>
  <c r="O64" i="2"/>
  <c r="P64" i="2"/>
  <c r="Q64" i="2"/>
  <c r="R64" i="2"/>
  <c r="S64" i="2"/>
  <c r="T64" i="2"/>
  <c r="U64" i="2"/>
  <c r="V64" i="2"/>
  <c r="W64" i="2"/>
  <c r="X64" i="2"/>
  <c r="Y64" i="2"/>
  <c r="Z64" i="2"/>
  <c r="AA64" i="2"/>
  <c r="AB64" i="2"/>
  <c r="AC64" i="2"/>
  <c r="AD64" i="2"/>
  <c r="AE64" i="2"/>
  <c r="AF64" i="2"/>
  <c r="AG64" i="2"/>
  <c r="AH64" i="2"/>
  <c r="AI64" i="2"/>
  <c r="AJ64" i="2"/>
  <c r="AK64" i="2"/>
  <c r="AL64" i="2"/>
  <c r="AM64" i="2"/>
  <c r="AN64" i="2"/>
  <c r="AO64" i="2"/>
  <c r="AP64" i="2"/>
  <c r="AQ64" i="2"/>
  <c r="AR64" i="2"/>
  <c r="AS64" i="2"/>
  <c r="AT64" i="2"/>
  <c r="AU64" i="2"/>
  <c r="AV64" i="2"/>
  <c r="AW64" i="2"/>
  <c r="AX64" i="2"/>
  <c r="AY64" i="2"/>
  <c r="AZ64" i="2"/>
  <c r="BA64" i="2"/>
  <c r="BB64" i="2"/>
  <c r="BC64" i="2"/>
  <c r="BD64" i="2"/>
  <c r="BE64" i="2"/>
  <c r="BF64" i="2"/>
  <c r="BG64" i="2"/>
  <c r="BH64" i="2"/>
  <c r="BI64" i="2"/>
  <c r="BJ64" i="2"/>
  <c r="BK64" i="2"/>
  <c r="BL64" i="2"/>
  <c r="BM64" i="2"/>
  <c r="BN64" i="2"/>
  <c r="BO64" i="2"/>
  <c r="BP64" i="2"/>
  <c r="BQ64" i="2"/>
  <c r="F64" i="2"/>
  <c r="G60" i="2"/>
  <c r="H60" i="2"/>
  <c r="I60" i="2"/>
  <c r="J60" i="2"/>
  <c r="K60" i="2"/>
  <c r="L60" i="2"/>
  <c r="M60" i="2"/>
  <c r="N60" i="2"/>
  <c r="O60" i="2"/>
  <c r="P60" i="2"/>
  <c r="Q60" i="2"/>
  <c r="R60" i="2"/>
  <c r="S60" i="2"/>
  <c r="T60" i="2"/>
  <c r="U60" i="2"/>
  <c r="V60" i="2"/>
  <c r="W60" i="2"/>
  <c r="X60" i="2"/>
  <c r="Y60" i="2"/>
  <c r="Z60" i="2"/>
  <c r="AA60" i="2"/>
  <c r="AB60" i="2"/>
  <c r="AC60" i="2"/>
  <c r="AD60" i="2"/>
  <c r="AE60" i="2"/>
  <c r="AF60" i="2"/>
  <c r="AG60" i="2"/>
  <c r="AH60" i="2"/>
  <c r="AI60" i="2"/>
  <c r="AJ60" i="2"/>
  <c r="AK60" i="2"/>
  <c r="AL60" i="2"/>
  <c r="AM60" i="2"/>
  <c r="AN60" i="2"/>
  <c r="AO60" i="2"/>
  <c r="AP60" i="2"/>
  <c r="AQ60" i="2"/>
  <c r="AR60" i="2"/>
  <c r="AS60" i="2"/>
  <c r="AT60" i="2"/>
  <c r="AU60" i="2"/>
  <c r="AV60" i="2"/>
  <c r="AW60" i="2"/>
  <c r="AX60" i="2"/>
  <c r="AY60" i="2"/>
  <c r="AZ60" i="2"/>
  <c r="BA60" i="2"/>
  <c r="BB60" i="2"/>
  <c r="BC60" i="2"/>
  <c r="BD60" i="2"/>
  <c r="BE60" i="2"/>
  <c r="BF60" i="2"/>
  <c r="BG60" i="2"/>
  <c r="BH60" i="2"/>
  <c r="BI60" i="2"/>
  <c r="BJ60" i="2"/>
  <c r="BK60" i="2"/>
  <c r="BL60" i="2"/>
  <c r="BM60" i="2"/>
  <c r="BN60" i="2"/>
  <c r="BO60" i="2"/>
  <c r="BP60" i="2"/>
  <c r="BQ60" i="2"/>
  <c r="F60" i="2"/>
  <c r="G40" i="2"/>
  <c r="H40" i="2"/>
  <c r="I40" i="2"/>
  <c r="J40" i="2"/>
  <c r="K40" i="2"/>
  <c r="L40" i="2"/>
  <c r="M40" i="2"/>
  <c r="N40" i="2"/>
  <c r="O40" i="2"/>
  <c r="P40" i="2"/>
  <c r="Q40" i="2"/>
  <c r="R40" i="2"/>
  <c r="S40" i="2"/>
  <c r="T40" i="2"/>
  <c r="U40" i="2"/>
  <c r="V40" i="2"/>
  <c r="W40" i="2"/>
  <c r="X40" i="2"/>
  <c r="Y40" i="2"/>
  <c r="Z40" i="2"/>
  <c r="AA40" i="2"/>
  <c r="AB40" i="2"/>
  <c r="AC40" i="2"/>
  <c r="AD40" i="2"/>
  <c r="AE40" i="2"/>
  <c r="AF40" i="2"/>
  <c r="AG40" i="2"/>
  <c r="AH40" i="2"/>
  <c r="AI40" i="2"/>
  <c r="AJ40" i="2"/>
  <c r="AK40" i="2"/>
  <c r="AL40" i="2"/>
  <c r="AM40" i="2"/>
  <c r="AN40" i="2"/>
  <c r="AO40" i="2"/>
  <c r="AP40" i="2"/>
  <c r="AQ40" i="2"/>
  <c r="AR40" i="2"/>
  <c r="AS40" i="2"/>
  <c r="AT40" i="2"/>
  <c r="AU40" i="2"/>
  <c r="AV40" i="2"/>
  <c r="AW40" i="2"/>
  <c r="AX40" i="2"/>
  <c r="AY40" i="2"/>
  <c r="AZ40" i="2"/>
  <c r="BA40" i="2"/>
  <c r="BB40" i="2"/>
  <c r="BC40" i="2"/>
  <c r="BD40" i="2"/>
  <c r="BE40" i="2"/>
  <c r="BF40" i="2"/>
  <c r="BG40" i="2"/>
  <c r="BH40" i="2"/>
  <c r="BI40" i="2"/>
  <c r="BJ40" i="2"/>
  <c r="BK40" i="2"/>
  <c r="BL40" i="2"/>
  <c r="BM40" i="2"/>
  <c r="BN40" i="2"/>
  <c r="BO40" i="2"/>
  <c r="BP40" i="2"/>
  <c r="BQ40" i="2"/>
  <c r="F40" i="2"/>
  <c r="G36" i="2"/>
  <c r="H36" i="2"/>
  <c r="I36" i="2"/>
  <c r="J36" i="2"/>
  <c r="K36" i="2"/>
  <c r="L36" i="2"/>
  <c r="M36" i="2"/>
  <c r="N36" i="2"/>
  <c r="O36" i="2"/>
  <c r="P36" i="2"/>
  <c r="Q36" i="2"/>
  <c r="R36" i="2"/>
  <c r="S36" i="2"/>
  <c r="T36" i="2"/>
  <c r="U36" i="2"/>
  <c r="V36" i="2"/>
  <c r="W36" i="2"/>
  <c r="X36" i="2"/>
  <c r="Y36" i="2"/>
  <c r="Z36" i="2"/>
  <c r="AA36" i="2"/>
  <c r="AB36" i="2"/>
  <c r="AC36" i="2"/>
  <c r="AD36" i="2"/>
  <c r="AE36" i="2"/>
  <c r="AF36" i="2"/>
  <c r="AG36" i="2"/>
  <c r="AH36" i="2"/>
  <c r="AI36" i="2"/>
  <c r="AJ36" i="2"/>
  <c r="AK36" i="2"/>
  <c r="AL36" i="2"/>
  <c r="AM36" i="2"/>
  <c r="AN36" i="2"/>
  <c r="AO36" i="2"/>
  <c r="AP36" i="2"/>
  <c r="AQ36" i="2"/>
  <c r="AR36" i="2"/>
  <c r="AS36" i="2"/>
  <c r="AT36" i="2"/>
  <c r="AU36" i="2"/>
  <c r="AV36" i="2"/>
  <c r="AW36" i="2"/>
  <c r="AX36" i="2"/>
  <c r="AY36" i="2"/>
  <c r="AZ36" i="2"/>
  <c r="BA36" i="2"/>
  <c r="BB36" i="2"/>
  <c r="BC36" i="2"/>
  <c r="BD36" i="2"/>
  <c r="BE36" i="2"/>
  <c r="BF36" i="2"/>
  <c r="BG36" i="2"/>
  <c r="BH36" i="2"/>
  <c r="BI36" i="2"/>
  <c r="BJ36" i="2"/>
  <c r="BK36" i="2"/>
  <c r="BL36" i="2"/>
  <c r="BM36" i="2"/>
  <c r="BN36" i="2"/>
  <c r="BO36" i="2"/>
  <c r="BP36" i="2"/>
  <c r="BQ36" i="2"/>
  <c r="F36" i="2"/>
  <c r="G32" i="2"/>
  <c r="H32" i="2"/>
  <c r="I32" i="2"/>
  <c r="J32" i="2"/>
  <c r="K32" i="2"/>
  <c r="L32" i="2"/>
  <c r="M32" i="2"/>
  <c r="N32" i="2"/>
  <c r="O32" i="2"/>
  <c r="P32" i="2"/>
  <c r="Q32" i="2"/>
  <c r="R32" i="2"/>
  <c r="S32" i="2"/>
  <c r="T32" i="2"/>
  <c r="U32" i="2"/>
  <c r="V32" i="2"/>
  <c r="W32" i="2"/>
  <c r="X32" i="2"/>
  <c r="Y32" i="2"/>
  <c r="Z32" i="2"/>
  <c r="AA32" i="2"/>
  <c r="AB32" i="2"/>
  <c r="AC32" i="2"/>
  <c r="AD32" i="2"/>
  <c r="AE32" i="2"/>
  <c r="AF32" i="2"/>
  <c r="AG32" i="2"/>
  <c r="AH32" i="2"/>
  <c r="AI32" i="2"/>
  <c r="AJ32" i="2"/>
  <c r="AK32" i="2"/>
  <c r="AL32" i="2"/>
  <c r="AM32" i="2"/>
  <c r="AN32" i="2"/>
  <c r="AO32" i="2"/>
  <c r="AP32" i="2"/>
  <c r="AQ32" i="2"/>
  <c r="AR32" i="2"/>
  <c r="AS32" i="2"/>
  <c r="AT32" i="2"/>
  <c r="AU32" i="2"/>
  <c r="AV32" i="2"/>
  <c r="AW32" i="2"/>
  <c r="AX32" i="2"/>
  <c r="AY32" i="2"/>
  <c r="AZ32" i="2"/>
  <c r="BA32" i="2"/>
  <c r="BB32" i="2"/>
  <c r="BC32" i="2"/>
  <c r="BD32" i="2"/>
  <c r="BE32" i="2"/>
  <c r="BF32" i="2"/>
  <c r="BG32" i="2"/>
  <c r="BH32" i="2"/>
  <c r="BI32" i="2"/>
  <c r="BJ32" i="2"/>
  <c r="BK32" i="2"/>
  <c r="BL32" i="2"/>
  <c r="BM32" i="2"/>
  <c r="BN32" i="2"/>
  <c r="BO32" i="2"/>
  <c r="BP32" i="2"/>
  <c r="BQ32" i="2"/>
  <c r="F32" i="2"/>
  <c r="G30" i="2"/>
  <c r="H30" i="2"/>
  <c r="I30" i="2"/>
  <c r="J30" i="2"/>
  <c r="K30" i="2"/>
  <c r="L30" i="2"/>
  <c r="M30" i="2"/>
  <c r="N30" i="2"/>
  <c r="O30" i="2"/>
  <c r="P30" i="2"/>
  <c r="Q30" i="2"/>
  <c r="R30" i="2"/>
  <c r="S30" i="2"/>
  <c r="T30" i="2"/>
  <c r="U30" i="2"/>
  <c r="V30" i="2"/>
  <c r="W30" i="2"/>
  <c r="X30" i="2"/>
  <c r="Y30" i="2"/>
  <c r="Z30" i="2"/>
  <c r="AA30" i="2"/>
  <c r="AB30" i="2"/>
  <c r="AC30" i="2"/>
  <c r="AD30" i="2"/>
  <c r="AE30" i="2"/>
  <c r="AF30" i="2"/>
  <c r="AG30" i="2"/>
  <c r="AH30" i="2"/>
  <c r="AI30" i="2"/>
  <c r="AJ30" i="2"/>
  <c r="AK30" i="2"/>
  <c r="AL30" i="2"/>
  <c r="AM30" i="2"/>
  <c r="AN30" i="2"/>
  <c r="AO30" i="2"/>
  <c r="AP30" i="2"/>
  <c r="AQ30" i="2"/>
  <c r="AR30" i="2"/>
  <c r="AS30" i="2"/>
  <c r="AT30" i="2"/>
  <c r="AU30" i="2"/>
  <c r="AV30" i="2"/>
  <c r="AW30" i="2"/>
  <c r="AX30" i="2"/>
  <c r="AY30" i="2"/>
  <c r="AZ30" i="2"/>
  <c r="BA30" i="2"/>
  <c r="BB30" i="2"/>
  <c r="BC30" i="2"/>
  <c r="BD30" i="2"/>
  <c r="BE30" i="2"/>
  <c r="BF30" i="2"/>
  <c r="BG30" i="2"/>
  <c r="BH30" i="2"/>
  <c r="BI30" i="2"/>
  <c r="BJ30" i="2"/>
  <c r="BK30" i="2"/>
  <c r="BL30" i="2"/>
  <c r="BM30" i="2"/>
  <c r="BN30" i="2"/>
  <c r="BO30" i="2"/>
  <c r="BP30" i="2"/>
  <c r="BQ30" i="2"/>
  <c r="F30" i="2"/>
  <c r="G19" i="2"/>
  <c r="H19" i="2"/>
  <c r="I19" i="2"/>
  <c r="J19" i="2"/>
  <c r="K19" i="2"/>
  <c r="L19" i="2"/>
  <c r="M19" i="2"/>
  <c r="N19" i="2"/>
  <c r="O19" i="2"/>
  <c r="P19" i="2"/>
  <c r="Q19" i="2"/>
  <c r="R19" i="2"/>
  <c r="S19" i="2"/>
  <c r="T19" i="2"/>
  <c r="U19" i="2"/>
  <c r="V19" i="2"/>
  <c r="W19" i="2"/>
  <c r="X19" i="2"/>
  <c r="Y19" i="2"/>
  <c r="Z19" i="2"/>
  <c r="AA19" i="2"/>
  <c r="AB19" i="2"/>
  <c r="AC19" i="2"/>
  <c r="AD19" i="2"/>
  <c r="AE19" i="2"/>
  <c r="AF19" i="2"/>
  <c r="AG19" i="2"/>
  <c r="AH19" i="2"/>
  <c r="AI19" i="2"/>
  <c r="AJ19" i="2"/>
  <c r="AK19" i="2"/>
  <c r="AL19" i="2"/>
  <c r="AM19" i="2"/>
  <c r="AN19" i="2"/>
  <c r="AO19" i="2"/>
  <c r="AP19" i="2"/>
  <c r="AQ19" i="2"/>
  <c r="AR19" i="2"/>
  <c r="AS19" i="2"/>
  <c r="AT19" i="2"/>
  <c r="AU19" i="2"/>
  <c r="AV19" i="2"/>
  <c r="AW19" i="2"/>
  <c r="AX19" i="2"/>
  <c r="AY19" i="2"/>
  <c r="AZ19" i="2"/>
  <c r="BA19" i="2"/>
  <c r="BB19" i="2"/>
  <c r="BC19" i="2"/>
  <c r="BD19" i="2"/>
  <c r="BE19" i="2"/>
  <c r="BF19" i="2"/>
  <c r="BG19" i="2"/>
  <c r="BH19" i="2"/>
  <c r="BI19" i="2"/>
  <c r="BJ19" i="2"/>
  <c r="BK19" i="2"/>
  <c r="BL19" i="2"/>
  <c r="BM19" i="2"/>
  <c r="BN19" i="2"/>
  <c r="BO19" i="2"/>
  <c r="BP19" i="2"/>
  <c r="BQ19" i="2"/>
  <c r="F19" i="2"/>
  <c r="BK62" i="2"/>
  <c r="BM62" i="2" s="1"/>
  <c r="BJ62" i="2"/>
  <c r="BC62" i="2"/>
  <c r="BB62" i="2"/>
  <c r="BI62" i="2" s="1"/>
  <c r="AY62" i="2"/>
  <c r="AU62" i="2"/>
  <c r="AT62" i="2"/>
  <c r="BA62" i="2" s="1"/>
  <c r="AQ62" i="2"/>
  <c r="AM62" i="2"/>
  <c r="AL62" i="2"/>
  <c r="AS62" i="2" s="1"/>
  <c r="AI62" i="2"/>
  <c r="AE62" i="2"/>
  <c r="AD62" i="2"/>
  <c r="AK62" i="2" s="1"/>
  <c r="AA62" i="2"/>
  <c r="V62" i="2"/>
  <c r="O62" i="2"/>
  <c r="Q62" i="2" s="1"/>
  <c r="N62" i="2"/>
  <c r="G62" i="2"/>
  <c r="I62" i="2" s="1"/>
  <c r="F62" i="2"/>
  <c r="E62" i="2"/>
  <c r="E60" i="2"/>
  <c r="E30" i="2"/>
  <c r="E32" i="2"/>
  <c r="E34" i="2"/>
  <c r="E36" i="2"/>
  <c r="E40" i="2"/>
  <c r="BK18" i="2"/>
  <c r="BJ18" i="2"/>
  <c r="BB18" i="2"/>
  <c r="BG18" i="2" s="1"/>
  <c r="AY18" i="2"/>
  <c r="AT18" i="2"/>
  <c r="AQ18" i="2"/>
  <c r="AL18" i="2"/>
  <c r="AI18" i="2"/>
  <c r="AD18" i="2"/>
  <c r="AA18" i="2"/>
  <c r="V18" i="2" s="1"/>
  <c r="O18" i="2"/>
  <c r="N18" i="2"/>
  <c r="G18" i="2"/>
  <c r="F18" i="2"/>
  <c r="E18" i="2"/>
  <c r="BM14" i="6"/>
  <c r="Q14" i="6"/>
  <c r="I14" i="6"/>
  <c r="E14" i="6"/>
  <c r="BM13" i="6"/>
  <c r="E13" i="6"/>
  <c r="G15" i="6"/>
  <c r="BQ15" i="6"/>
  <c r="BP15" i="6"/>
  <c r="BO15" i="6"/>
  <c r="BN15" i="6"/>
  <c r="BM15" i="6"/>
  <c r="BL15" i="6"/>
  <c r="BK15" i="6"/>
  <c r="BJ15" i="6"/>
  <c r="BI15" i="6"/>
  <c r="BH15" i="6"/>
  <c r="BG15" i="6"/>
  <c r="BF15" i="6"/>
  <c r="BE15" i="6"/>
  <c r="BD15" i="6"/>
  <c r="BC15" i="6"/>
  <c r="BB15" i="6"/>
  <c r="BA15" i="6"/>
  <c r="AZ15" i="6"/>
  <c r="AY15" i="6"/>
  <c r="AX15" i="6"/>
  <c r="AW15" i="6"/>
  <c r="AV15" i="6"/>
  <c r="AU15" i="6"/>
  <c r="AT15" i="6"/>
  <c r="AS15" i="6"/>
  <c r="AR15" i="6"/>
  <c r="AQ15" i="6"/>
  <c r="AP15" i="6"/>
  <c r="AO15" i="6"/>
  <c r="AN15" i="6"/>
  <c r="AM15" i="6"/>
  <c r="AL15" i="6"/>
  <c r="AK15" i="6"/>
  <c r="AJ15" i="6"/>
  <c r="AI15" i="6"/>
  <c r="AH15" i="6"/>
  <c r="AG15" i="6"/>
  <c r="AF15" i="6"/>
  <c r="AE15" i="6"/>
  <c r="AD15" i="6"/>
  <c r="AC15" i="6"/>
  <c r="AB15" i="6"/>
  <c r="AA15" i="6"/>
  <c r="Z15" i="6"/>
  <c r="Y15" i="6"/>
  <c r="X15" i="6"/>
  <c r="W15" i="6"/>
  <c r="V15" i="6"/>
  <c r="U15" i="6"/>
  <c r="T15" i="6"/>
  <c r="S15" i="6"/>
  <c r="R15" i="6"/>
  <c r="Q15" i="6"/>
  <c r="P15" i="6"/>
  <c r="O15" i="6"/>
  <c r="N15" i="6"/>
  <c r="M15" i="6"/>
  <c r="L15" i="6"/>
  <c r="K15" i="6"/>
  <c r="J15" i="6"/>
  <c r="I15" i="6"/>
  <c r="H15" i="6"/>
  <c r="F15" i="6"/>
  <c r="E12" i="6"/>
  <c r="E12" i="3"/>
  <c r="E13" i="3"/>
  <c r="E14" i="3"/>
  <c r="AD17" i="2"/>
  <c r="O1" i="5"/>
  <c r="P1" i="5" s="1"/>
  <c r="N1" i="5"/>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E61" i="2" s="1"/>
  <c r="F3" i="4"/>
  <c r="F4" i="4"/>
  <c r="F5" i="4"/>
  <c r="F6" i="4"/>
  <c r="F7" i="4"/>
  <c r="F8" i="4"/>
  <c r="E20" i="2" s="1"/>
  <c r="D5" i="5" s="1"/>
  <c r="F9" i="4"/>
  <c r="E45" i="2" s="1"/>
  <c r="D14" i="5" s="1"/>
  <c r="F10" i="4"/>
  <c r="E44" i="2" s="1"/>
  <c r="D13" i="5" s="1"/>
  <c r="F11" i="4"/>
  <c r="E65" i="2" s="1"/>
  <c r="F12" i="4"/>
  <c r="E58" i="2" s="1"/>
  <c r="F13" i="4"/>
  <c r="F2" i="4"/>
  <c r="E50" i="2" s="1"/>
  <c r="G10" i="3"/>
  <c r="H10" i="3" s="1"/>
  <c r="I10" i="3" s="1"/>
  <c r="J10" i="3" s="1"/>
  <c r="K10" i="3" s="1"/>
  <c r="L10" i="3" s="1"/>
  <c r="M10" i="3" s="1"/>
  <c r="N10" i="3" s="1"/>
  <c r="O10" i="3" s="1"/>
  <c r="P10" i="3" s="1"/>
  <c r="Q10" i="3" s="1"/>
  <c r="R10" i="3" s="1"/>
  <c r="S10" i="3" s="1"/>
  <c r="T10" i="3" s="1"/>
  <c r="U10" i="3" s="1"/>
  <c r="V10" i="3" s="1"/>
  <c r="W10" i="3" s="1"/>
  <c r="X10" i="3" s="1"/>
  <c r="Y10" i="3" s="1"/>
  <c r="Z10" i="3" s="1"/>
  <c r="AA10" i="3" s="1"/>
  <c r="AB10" i="3" s="1"/>
  <c r="AC10" i="3" s="1"/>
  <c r="AD10" i="3" s="1"/>
  <c r="AE10" i="3" s="1"/>
  <c r="AF10" i="3" s="1"/>
  <c r="AG10" i="3" s="1"/>
  <c r="AH10" i="3" s="1"/>
  <c r="AI10" i="3" s="1"/>
  <c r="AJ10" i="3" s="1"/>
  <c r="AK10" i="3" s="1"/>
  <c r="AL10" i="3" s="1"/>
  <c r="AM10" i="3" s="1"/>
  <c r="AN10" i="3" s="1"/>
  <c r="AO10" i="3" s="1"/>
  <c r="AP10" i="3" s="1"/>
  <c r="AQ10" i="3" s="1"/>
  <c r="AR10" i="3" s="1"/>
  <c r="AS10" i="3" s="1"/>
  <c r="AT10" i="3" s="1"/>
  <c r="AU10" i="3" s="1"/>
  <c r="AV10" i="3" s="1"/>
  <c r="AW10" i="3" s="1"/>
  <c r="AX10" i="3" s="1"/>
  <c r="AY10" i="3" s="1"/>
  <c r="AZ10" i="3" s="1"/>
  <c r="BA10" i="3" s="1"/>
  <c r="BB10" i="3" s="1"/>
  <c r="BC10" i="3" s="1"/>
  <c r="BD10" i="3" s="1"/>
  <c r="BE10" i="3" s="1"/>
  <c r="BF10" i="3" s="1"/>
  <c r="BG10" i="3" s="1"/>
  <c r="BH10" i="3" s="1"/>
  <c r="BI10" i="3" s="1"/>
  <c r="BJ10" i="3" s="1"/>
  <c r="BK10" i="3" s="1"/>
  <c r="BL10" i="3" s="1"/>
  <c r="BM10" i="3" s="1"/>
  <c r="BN10" i="3" s="1"/>
  <c r="BO10" i="3" s="1"/>
  <c r="BP10" i="3" s="1"/>
  <c r="BQ10" i="3" s="1"/>
  <c r="E12" i="2"/>
  <c r="E83" i="2"/>
  <c r="E82" i="2"/>
  <c r="E81" i="2"/>
  <c r="E80" i="2"/>
  <c r="E79" i="2"/>
  <c r="E78" i="2"/>
  <c r="E77" i="2"/>
  <c r="E76" i="2"/>
  <c r="E75" i="2"/>
  <c r="E74" i="2"/>
  <c r="E73" i="2"/>
  <c r="E72" i="2"/>
  <c r="E71" i="2"/>
  <c r="E70" i="2"/>
  <c r="E69" i="2"/>
  <c r="E67" i="2"/>
  <c r="E66" i="2"/>
  <c r="E64" i="2"/>
  <c r="E63" i="2"/>
  <c r="E59" i="2"/>
  <c r="E57" i="2"/>
  <c r="E56" i="2"/>
  <c r="E55" i="2"/>
  <c r="E54" i="2"/>
  <c r="E53" i="2"/>
  <c r="E52" i="2"/>
  <c r="E51" i="2"/>
  <c r="E48" i="2"/>
  <c r="E47" i="2"/>
  <c r="E46" i="2"/>
  <c r="E43" i="2"/>
  <c r="E42" i="2"/>
  <c r="D10" i="5" s="1"/>
  <c r="E41" i="2"/>
  <c r="D7" i="5" s="1"/>
  <c r="E39" i="2"/>
  <c r="E38" i="2"/>
  <c r="D9" i="5" s="1"/>
  <c r="E37" i="2"/>
  <c r="E35" i="2"/>
  <c r="E33" i="2"/>
  <c r="E31" i="2"/>
  <c r="E29" i="2"/>
  <c r="E28" i="2"/>
  <c r="E27" i="2"/>
  <c r="E26" i="2"/>
  <c r="E25" i="2"/>
  <c r="E24" i="2"/>
  <c r="E23" i="2"/>
  <c r="E22" i="2"/>
  <c r="E21" i="2"/>
  <c r="D6" i="5" s="1"/>
  <c r="E17" i="2"/>
  <c r="E16" i="2"/>
  <c r="E15" i="2"/>
  <c r="E49" i="2"/>
  <c r="E13" i="2"/>
  <c r="E14" i="2"/>
  <c r="E19" i="2"/>
  <c r="E68" i="2"/>
  <c r="BQ15" i="3"/>
  <c r="BP15" i="3"/>
  <c r="BO15" i="3"/>
  <c r="BN15" i="3"/>
  <c r="BM15" i="3"/>
  <c r="BL15" i="3"/>
  <c r="BK15" i="3"/>
  <c r="BJ15" i="3"/>
  <c r="BI15" i="3"/>
  <c r="BH15" i="3"/>
  <c r="BG15" i="3"/>
  <c r="BF15" i="3"/>
  <c r="BE15" i="3"/>
  <c r="BD15" i="3"/>
  <c r="BC15" i="3"/>
  <c r="BB15" i="3"/>
  <c r="BA15" i="3"/>
  <c r="AZ15" i="3"/>
  <c r="AY15" i="3"/>
  <c r="AX15" i="3"/>
  <c r="AW15" i="3"/>
  <c r="AV15" i="3"/>
  <c r="AU15" i="3"/>
  <c r="AT15" i="3"/>
  <c r="AS15" i="3"/>
  <c r="AR15" i="3"/>
  <c r="AQ15" i="3"/>
  <c r="AP15" i="3"/>
  <c r="AO15" i="3"/>
  <c r="AN15" i="3"/>
  <c r="AM15" i="3"/>
  <c r="AL15" i="3"/>
  <c r="AK15" i="3"/>
  <c r="AJ15" i="3"/>
  <c r="AI15" i="3"/>
  <c r="AH15" i="3"/>
  <c r="AG15" i="3"/>
  <c r="AF15" i="3"/>
  <c r="AE15" i="3"/>
  <c r="AD15" i="3"/>
  <c r="AC15" i="3"/>
  <c r="AB15" i="3"/>
  <c r="AA15" i="3"/>
  <c r="Z15" i="3"/>
  <c r="Y15" i="3"/>
  <c r="X15" i="3"/>
  <c r="W15" i="3"/>
  <c r="V15" i="3"/>
  <c r="U15" i="3"/>
  <c r="T15" i="3"/>
  <c r="S15" i="3"/>
  <c r="R15" i="3"/>
  <c r="Q15" i="3"/>
  <c r="P15" i="3"/>
  <c r="O15" i="3"/>
  <c r="N15" i="3"/>
  <c r="M15" i="3"/>
  <c r="L15" i="3"/>
  <c r="K15" i="3"/>
  <c r="J15" i="3"/>
  <c r="I15" i="3"/>
  <c r="H15" i="3"/>
  <c r="G15" i="3"/>
  <c r="F15" i="3"/>
  <c r="BK83" i="2"/>
  <c r="BJ83" i="2"/>
  <c r="BK82" i="2"/>
  <c r="BJ82" i="2"/>
  <c r="BP81" i="2"/>
  <c r="BO81" i="2"/>
  <c r="BK81" i="2"/>
  <c r="BJ81" i="2"/>
  <c r="BN81" i="2" s="1"/>
  <c r="BK80" i="2"/>
  <c r="BJ80" i="2"/>
  <c r="BK79" i="2"/>
  <c r="BJ79" i="2"/>
  <c r="BK78" i="2"/>
  <c r="BJ78" i="2"/>
  <c r="BK77" i="2"/>
  <c r="BJ77" i="2"/>
  <c r="BK76" i="2"/>
  <c r="BJ76" i="2"/>
  <c r="BK75" i="2"/>
  <c r="BJ75" i="2"/>
  <c r="BK74" i="2"/>
  <c r="BJ74" i="2"/>
  <c r="BK73" i="2"/>
  <c r="BJ73" i="2"/>
  <c r="BK72" i="2"/>
  <c r="BJ72" i="2"/>
  <c r="BK71" i="2"/>
  <c r="BJ71" i="2"/>
  <c r="BK70" i="2"/>
  <c r="BJ70" i="2"/>
  <c r="BK69" i="2"/>
  <c r="BJ69" i="2"/>
  <c r="BK68" i="2"/>
  <c r="BJ68" i="2"/>
  <c r="BK67" i="2"/>
  <c r="BJ67" i="2"/>
  <c r="BK66" i="2"/>
  <c r="BJ66" i="2"/>
  <c r="BK65" i="2"/>
  <c r="BJ65" i="2"/>
  <c r="BK63" i="2"/>
  <c r="BJ63" i="2"/>
  <c r="BK61" i="2"/>
  <c r="BJ61" i="2"/>
  <c r="BK59" i="2"/>
  <c r="BJ59" i="2"/>
  <c r="BK58" i="2"/>
  <c r="BJ58" i="2"/>
  <c r="BK57" i="2"/>
  <c r="BJ57" i="2"/>
  <c r="BK56" i="2"/>
  <c r="BJ56" i="2"/>
  <c r="BK55" i="2"/>
  <c r="BJ55" i="2"/>
  <c r="BK54" i="2"/>
  <c r="BJ54" i="2"/>
  <c r="BK53" i="2"/>
  <c r="BJ53" i="2"/>
  <c r="BK52" i="2"/>
  <c r="BJ52" i="2"/>
  <c r="BK51" i="2"/>
  <c r="BJ51" i="2"/>
  <c r="BK50" i="2"/>
  <c r="BJ50" i="2"/>
  <c r="BK49" i="2"/>
  <c r="BJ49" i="2"/>
  <c r="BK48" i="2"/>
  <c r="BJ48" i="2"/>
  <c r="BK47" i="2"/>
  <c r="BJ47" i="2"/>
  <c r="BK46" i="2"/>
  <c r="BJ46" i="2"/>
  <c r="BK45" i="2"/>
  <c r="BJ45" i="2"/>
  <c r="BK44" i="2"/>
  <c r="BJ44" i="2"/>
  <c r="BK43" i="2"/>
  <c r="BJ43" i="2"/>
  <c r="BK42" i="2"/>
  <c r="BJ42" i="2"/>
  <c r="BK41" i="2"/>
  <c r="BJ41" i="2"/>
  <c r="BK39" i="2"/>
  <c r="BJ39" i="2"/>
  <c r="BK38" i="2"/>
  <c r="BJ38" i="2"/>
  <c r="BK37" i="2"/>
  <c r="BJ37" i="2"/>
  <c r="BK35" i="2"/>
  <c r="BK34" i="2" s="1"/>
  <c r="BJ35" i="2"/>
  <c r="BJ34" i="2" s="1"/>
  <c r="BK33" i="2"/>
  <c r="BJ33" i="2"/>
  <c r="BK31" i="2"/>
  <c r="BJ31" i="2"/>
  <c r="BK29" i="2"/>
  <c r="BJ29" i="2"/>
  <c r="BK28" i="2"/>
  <c r="BJ28" i="2"/>
  <c r="BK27" i="2"/>
  <c r="BJ27" i="2"/>
  <c r="BK26" i="2"/>
  <c r="BJ26" i="2"/>
  <c r="BK25" i="2"/>
  <c r="BJ25" i="2"/>
  <c r="BK24" i="2"/>
  <c r="BJ24" i="2"/>
  <c r="BK23" i="2"/>
  <c r="BJ23" i="2"/>
  <c r="BK22" i="2"/>
  <c r="BJ22" i="2"/>
  <c r="BK21" i="2"/>
  <c r="BJ21" i="2"/>
  <c r="BK20" i="2"/>
  <c r="BJ20" i="2"/>
  <c r="BK17" i="2"/>
  <c r="BJ17" i="2"/>
  <c r="BK16" i="2"/>
  <c r="BJ16" i="2"/>
  <c r="BK15" i="2"/>
  <c r="BJ15" i="2"/>
  <c r="BK14" i="2"/>
  <c r="BJ14" i="2"/>
  <c r="BK13" i="2"/>
  <c r="BJ13" i="2"/>
  <c r="BK12" i="2"/>
  <c r="BL12" i="6" s="1"/>
  <c r="BJ12" i="2"/>
  <c r="BK12" i="6" s="1"/>
  <c r="BB83" i="2"/>
  <c r="BG83" i="2" s="1"/>
  <c r="BB82" i="2"/>
  <c r="BE82" i="2" s="1"/>
  <c r="BB81" i="2"/>
  <c r="BG81" i="2" s="1"/>
  <c r="BB80" i="2"/>
  <c r="BG80" i="2" s="1"/>
  <c r="BB79" i="2"/>
  <c r="BE79" i="2" s="1"/>
  <c r="BB78" i="2"/>
  <c r="BG78" i="2" s="1"/>
  <c r="BB77" i="2"/>
  <c r="BG77" i="2" s="1"/>
  <c r="BB76" i="2"/>
  <c r="BG76" i="2" s="1"/>
  <c r="BB75" i="2"/>
  <c r="BI75" i="2" s="1"/>
  <c r="BB74" i="2"/>
  <c r="BI74" i="2" s="1"/>
  <c r="BB73" i="2"/>
  <c r="BG73" i="2" s="1"/>
  <c r="BB72" i="2"/>
  <c r="BG72" i="2" s="1"/>
  <c r="BB71" i="2"/>
  <c r="BI71" i="2" s="1"/>
  <c r="BB70" i="2"/>
  <c r="BE70" i="2" s="1"/>
  <c r="BB69" i="2"/>
  <c r="BG69" i="2" s="1"/>
  <c r="BB68" i="2"/>
  <c r="BI68" i="2" s="1"/>
  <c r="BB67" i="2"/>
  <c r="BE67" i="2" s="1"/>
  <c r="BB66" i="2"/>
  <c r="BG66" i="2" s="1"/>
  <c r="BB65" i="2"/>
  <c r="BG65" i="2" s="1"/>
  <c r="BB63" i="2"/>
  <c r="BI63" i="2" s="1"/>
  <c r="BB61" i="2"/>
  <c r="BG61" i="2" s="1"/>
  <c r="BB59" i="2"/>
  <c r="BE59" i="2" s="1"/>
  <c r="BB58" i="2"/>
  <c r="BI58" i="2" s="1"/>
  <c r="BB57" i="2"/>
  <c r="BI57" i="2" s="1"/>
  <c r="BB56" i="2"/>
  <c r="BG56" i="2" s="1"/>
  <c r="BB55" i="2"/>
  <c r="BC55" i="2" s="1"/>
  <c r="BB54" i="2"/>
  <c r="BI54" i="2" s="1"/>
  <c r="BB53" i="2"/>
  <c r="BB52" i="2"/>
  <c r="BG52" i="2" s="1"/>
  <c r="BB51" i="2"/>
  <c r="BG51" i="2" s="1"/>
  <c r="BB50" i="2"/>
  <c r="BG50" i="2" s="1"/>
  <c r="BB49" i="2"/>
  <c r="BC49" i="2" s="1"/>
  <c r="BB48" i="2"/>
  <c r="BI48" i="2" s="1"/>
  <c r="BB47" i="2"/>
  <c r="BE47" i="2" s="1"/>
  <c r="BB46" i="2"/>
  <c r="BG46" i="2" s="1"/>
  <c r="BB45" i="2"/>
  <c r="BG45" i="2" s="1"/>
  <c r="BB44" i="2"/>
  <c r="BG44" i="2" s="1"/>
  <c r="BB43" i="2"/>
  <c r="BG43" i="2" s="1"/>
  <c r="BB42" i="2"/>
  <c r="BG42" i="2" s="1"/>
  <c r="BB41" i="2"/>
  <c r="BB39" i="2"/>
  <c r="BI39" i="2" s="1"/>
  <c r="BB38" i="2"/>
  <c r="BG38" i="2" s="1"/>
  <c r="BB37" i="2"/>
  <c r="BE37" i="2" s="1"/>
  <c r="BB35" i="2"/>
  <c r="BG35" i="2" s="1"/>
  <c r="BG34" i="2" s="1"/>
  <c r="BB33" i="2"/>
  <c r="BI33" i="2" s="1"/>
  <c r="BB31" i="2"/>
  <c r="BG31" i="2" s="1"/>
  <c r="BB29" i="2"/>
  <c r="BC29" i="2" s="1"/>
  <c r="BB28" i="2"/>
  <c r="BI28" i="2" s="1"/>
  <c r="BB27" i="2"/>
  <c r="BE27" i="2" s="1"/>
  <c r="BB26" i="2"/>
  <c r="BI26" i="2" s="1"/>
  <c r="BB25" i="2"/>
  <c r="BG25" i="2" s="1"/>
  <c r="BB24" i="2"/>
  <c r="BG24" i="2" s="1"/>
  <c r="BB23" i="2"/>
  <c r="BI23" i="2" s="1"/>
  <c r="BB22" i="2"/>
  <c r="BG22" i="2" s="1"/>
  <c r="BB21" i="2"/>
  <c r="BB20" i="2"/>
  <c r="BG20" i="2" s="1"/>
  <c r="BB17" i="2"/>
  <c r="BG17" i="2" s="1"/>
  <c r="BB16" i="2"/>
  <c r="BC16" i="2" s="1"/>
  <c r="BB15" i="2"/>
  <c r="BI15" i="2" s="1"/>
  <c r="BB14" i="2"/>
  <c r="BE14" i="2" s="1"/>
  <c r="BB13" i="2"/>
  <c r="BI13" i="2" s="1"/>
  <c r="BB12" i="2"/>
  <c r="BI12" i="2" s="1"/>
  <c r="BJ12" i="6" s="1"/>
  <c r="AA83" i="2"/>
  <c r="V83" i="2" s="1"/>
  <c r="AA82" i="2"/>
  <c r="V82" i="2" s="1"/>
  <c r="AA81" i="2"/>
  <c r="V81" i="2" s="1"/>
  <c r="AA80" i="2"/>
  <c r="V80" i="2" s="1"/>
  <c r="AA79" i="2"/>
  <c r="V79" i="2" s="1"/>
  <c r="AA78" i="2"/>
  <c r="V78" i="2" s="1"/>
  <c r="AA77" i="2"/>
  <c r="V77" i="2" s="1"/>
  <c r="AA76" i="2"/>
  <c r="V76" i="2" s="1"/>
  <c r="AA75" i="2"/>
  <c r="V75" i="2" s="1"/>
  <c r="AA74" i="2"/>
  <c r="V74" i="2" s="1"/>
  <c r="AA73" i="2"/>
  <c r="V73" i="2" s="1"/>
  <c r="AA72" i="2"/>
  <c r="V72" i="2" s="1"/>
  <c r="AA71" i="2"/>
  <c r="V71" i="2" s="1"/>
  <c r="AA70" i="2"/>
  <c r="V70" i="2" s="1"/>
  <c r="AA69" i="2"/>
  <c r="V69" i="2" s="1"/>
  <c r="AA68" i="2"/>
  <c r="V68" i="2" s="1"/>
  <c r="AA67" i="2"/>
  <c r="V67" i="2" s="1"/>
  <c r="AA66" i="2"/>
  <c r="V66" i="2" s="1"/>
  <c r="AA65" i="2"/>
  <c r="V65" i="2" s="1"/>
  <c r="AA63" i="2"/>
  <c r="V63" i="2" s="1"/>
  <c r="AA61" i="2"/>
  <c r="V61" i="2" s="1"/>
  <c r="AA59" i="2"/>
  <c r="V59" i="2" s="1"/>
  <c r="AA58" i="2"/>
  <c r="V58" i="2" s="1"/>
  <c r="AA57" i="2"/>
  <c r="V57" i="2" s="1"/>
  <c r="AA56" i="2"/>
  <c r="V56" i="2" s="1"/>
  <c r="AA55" i="2"/>
  <c r="V55" i="2" s="1"/>
  <c r="AA54" i="2"/>
  <c r="V54" i="2" s="1"/>
  <c r="AA53" i="2"/>
  <c r="V53" i="2" s="1"/>
  <c r="AA52" i="2"/>
  <c r="V52" i="2" s="1"/>
  <c r="AA51" i="2"/>
  <c r="V51" i="2" s="1"/>
  <c r="AA50" i="2"/>
  <c r="V50" i="2" s="1"/>
  <c r="AA49" i="2"/>
  <c r="V49" i="2" s="1"/>
  <c r="AA48" i="2"/>
  <c r="V48" i="2" s="1"/>
  <c r="AA47" i="2"/>
  <c r="V47" i="2" s="1"/>
  <c r="AA46" i="2"/>
  <c r="V46" i="2" s="1"/>
  <c r="AA45" i="2"/>
  <c r="V45" i="2" s="1"/>
  <c r="AA44" i="2"/>
  <c r="V44" i="2" s="1"/>
  <c r="AA43" i="2"/>
  <c r="V43" i="2" s="1"/>
  <c r="AA42" i="2"/>
  <c r="V42" i="2" s="1"/>
  <c r="AA41" i="2"/>
  <c r="V41" i="2" s="1"/>
  <c r="AA39" i="2"/>
  <c r="V39" i="2" s="1"/>
  <c r="AA38" i="2"/>
  <c r="V38" i="2" s="1"/>
  <c r="AA37" i="2"/>
  <c r="V37" i="2" s="1"/>
  <c r="AA35" i="2"/>
  <c r="V35" i="2" s="1"/>
  <c r="V34" i="2" s="1"/>
  <c r="AA33" i="2"/>
  <c r="V33" i="2" s="1"/>
  <c r="AA31" i="2"/>
  <c r="V31" i="2" s="1"/>
  <c r="AA29" i="2"/>
  <c r="V29" i="2" s="1"/>
  <c r="AA28" i="2"/>
  <c r="V28" i="2" s="1"/>
  <c r="AA27" i="2"/>
  <c r="V27" i="2" s="1"/>
  <c r="AA26" i="2"/>
  <c r="V26" i="2" s="1"/>
  <c r="AA25" i="2"/>
  <c r="V25" i="2" s="1"/>
  <c r="AA24" i="2"/>
  <c r="V24" i="2" s="1"/>
  <c r="AA23" i="2"/>
  <c r="V23" i="2" s="1"/>
  <c r="AA22" i="2"/>
  <c r="V22" i="2" s="1"/>
  <c r="AA21" i="2"/>
  <c r="V21" i="2" s="1"/>
  <c r="AA20" i="2"/>
  <c r="V20" i="2" s="1"/>
  <c r="AA17" i="2"/>
  <c r="V17" i="2" s="1"/>
  <c r="AA16" i="2"/>
  <c r="V16" i="2" s="1"/>
  <c r="AA15" i="2"/>
  <c r="V15" i="2" s="1"/>
  <c r="AA14" i="2"/>
  <c r="V14" i="2" s="1"/>
  <c r="AA13" i="2"/>
  <c r="V13" i="2" s="1"/>
  <c r="AA12" i="2"/>
  <c r="V12" i="2" s="1"/>
  <c r="W12" i="6" s="1"/>
  <c r="AI83" i="2"/>
  <c r="AD83" i="2"/>
  <c r="AK83" i="2" s="1"/>
  <c r="AI82" i="2"/>
  <c r="AD82" i="2"/>
  <c r="AG82" i="2" s="1"/>
  <c r="AI81" i="2"/>
  <c r="AD81" i="2"/>
  <c r="AK81" i="2" s="1"/>
  <c r="AI80" i="2"/>
  <c r="AD80" i="2"/>
  <c r="AK80" i="2" s="1"/>
  <c r="AI79" i="2"/>
  <c r="AD79" i="2"/>
  <c r="AG79" i="2" s="1"/>
  <c r="AI78" i="2"/>
  <c r="AD78" i="2"/>
  <c r="AK78" i="2" s="1"/>
  <c r="AI77" i="2"/>
  <c r="AD77" i="2"/>
  <c r="AI76" i="2"/>
  <c r="AD76" i="2"/>
  <c r="AI75" i="2"/>
  <c r="AD75" i="2"/>
  <c r="AK75" i="2" s="1"/>
  <c r="AI74" i="2"/>
  <c r="AD74" i="2"/>
  <c r="AK74" i="2" s="1"/>
  <c r="AI73" i="2"/>
  <c r="AD73" i="2"/>
  <c r="AG73" i="2" s="1"/>
  <c r="AI72" i="2"/>
  <c r="AD72" i="2"/>
  <c r="AI71" i="2"/>
  <c r="AD71" i="2"/>
  <c r="AK71" i="2" s="1"/>
  <c r="AI70" i="2"/>
  <c r="AD70" i="2"/>
  <c r="AG70" i="2" s="1"/>
  <c r="AI69" i="2"/>
  <c r="AD69" i="2"/>
  <c r="AE69" i="2" s="1"/>
  <c r="AI68" i="2"/>
  <c r="AD68" i="2"/>
  <c r="AK68" i="2" s="1"/>
  <c r="AI67" i="2"/>
  <c r="AD67" i="2"/>
  <c r="AG67" i="2" s="1"/>
  <c r="AI66" i="2"/>
  <c r="AD66" i="2"/>
  <c r="AI65" i="2"/>
  <c r="AD65" i="2"/>
  <c r="AK65" i="2" s="1"/>
  <c r="AI63" i="2"/>
  <c r="AD63" i="2"/>
  <c r="AK63" i="2" s="1"/>
  <c r="AI61" i="2"/>
  <c r="AD61" i="2"/>
  <c r="AI59" i="2"/>
  <c r="AD59" i="2"/>
  <c r="AG59" i="2" s="1"/>
  <c r="AI58" i="2"/>
  <c r="AD58" i="2"/>
  <c r="AK58" i="2" s="1"/>
  <c r="AI57" i="2"/>
  <c r="AD57" i="2"/>
  <c r="AK57" i="2" s="1"/>
  <c r="AI56" i="2"/>
  <c r="AD56" i="2"/>
  <c r="AI55" i="2"/>
  <c r="AD55" i="2"/>
  <c r="AJ55" i="2" s="1"/>
  <c r="AI54" i="2"/>
  <c r="AD54" i="2"/>
  <c r="AK54" i="2" s="1"/>
  <c r="AI53" i="2"/>
  <c r="AD53" i="2"/>
  <c r="AI52" i="2"/>
  <c r="AD52" i="2"/>
  <c r="AI51" i="2"/>
  <c r="AD51" i="2"/>
  <c r="AI50" i="2"/>
  <c r="AD50" i="2"/>
  <c r="AI49" i="2"/>
  <c r="AD49" i="2"/>
  <c r="AK49" i="2" s="1"/>
  <c r="AI48" i="2"/>
  <c r="AD48" i="2"/>
  <c r="AK48" i="2" s="1"/>
  <c r="AI47" i="2"/>
  <c r="AD47" i="2"/>
  <c r="AG47" i="2" s="1"/>
  <c r="AI46" i="2"/>
  <c r="AD46" i="2"/>
  <c r="AI45" i="2"/>
  <c r="AD45" i="2"/>
  <c r="AI44" i="2"/>
  <c r="AD44" i="2"/>
  <c r="AI43" i="2"/>
  <c r="AD43" i="2"/>
  <c r="AI42" i="2"/>
  <c r="AD42" i="2"/>
  <c r="AI41" i="2"/>
  <c r="AD41" i="2"/>
  <c r="AI39" i="2"/>
  <c r="AD39" i="2"/>
  <c r="AK39" i="2" s="1"/>
  <c r="AI38" i="2"/>
  <c r="AD38" i="2"/>
  <c r="AI37" i="2"/>
  <c r="AD37" i="2"/>
  <c r="AG37" i="2" s="1"/>
  <c r="AI35" i="2"/>
  <c r="AI34" i="2" s="1"/>
  <c r="AD35" i="2"/>
  <c r="AD34" i="2" s="1"/>
  <c r="AI33" i="2"/>
  <c r="AD33" i="2"/>
  <c r="AK33" i="2" s="1"/>
  <c r="AI31" i="2"/>
  <c r="AD31" i="2"/>
  <c r="AI29" i="2"/>
  <c r="AD29" i="2"/>
  <c r="AK29" i="2" s="1"/>
  <c r="AI28" i="2"/>
  <c r="AD28" i="2"/>
  <c r="AK28" i="2" s="1"/>
  <c r="AI27" i="2"/>
  <c r="AD27" i="2"/>
  <c r="AG27" i="2" s="1"/>
  <c r="AI26" i="2"/>
  <c r="AD26" i="2"/>
  <c r="AK26" i="2" s="1"/>
  <c r="AI25" i="2"/>
  <c r="AD25" i="2"/>
  <c r="AK25" i="2" s="1"/>
  <c r="AI24" i="2"/>
  <c r="AD24" i="2"/>
  <c r="AG24" i="2" s="1"/>
  <c r="AI23" i="2"/>
  <c r="AD23" i="2"/>
  <c r="AK23" i="2" s="1"/>
  <c r="AI22" i="2"/>
  <c r="AD22" i="2"/>
  <c r="AI21" i="2"/>
  <c r="AD21" i="2"/>
  <c r="AI20" i="2"/>
  <c r="AD20" i="2"/>
  <c r="AI17" i="2"/>
  <c r="AI16" i="2"/>
  <c r="AD16" i="2"/>
  <c r="AK16" i="2" s="1"/>
  <c r="AI15" i="2"/>
  <c r="AD15" i="2"/>
  <c r="AK15" i="2" s="1"/>
  <c r="AI14" i="2"/>
  <c r="AD14" i="2"/>
  <c r="AG14" i="2" s="1"/>
  <c r="AI13" i="2"/>
  <c r="AD13" i="2"/>
  <c r="AK13" i="2" s="1"/>
  <c r="AI12" i="2"/>
  <c r="AJ12" i="6" s="1"/>
  <c r="AD12" i="2"/>
  <c r="AK12" i="2" s="1"/>
  <c r="AL12" i="6" s="1"/>
  <c r="AQ83" i="2"/>
  <c r="AL83" i="2"/>
  <c r="AO83" i="2" s="1"/>
  <c r="AQ82" i="2"/>
  <c r="AL82" i="2"/>
  <c r="AS82" i="2" s="1"/>
  <c r="AQ81" i="2"/>
  <c r="AL81" i="2"/>
  <c r="AS81" i="2" s="1"/>
  <c r="AQ80" i="2"/>
  <c r="AL80" i="2"/>
  <c r="AS80" i="2" s="1"/>
  <c r="AQ79" i="2"/>
  <c r="AL79" i="2"/>
  <c r="AS79" i="2" s="1"/>
  <c r="AQ78" i="2"/>
  <c r="AL78" i="2"/>
  <c r="AS78" i="2" s="1"/>
  <c r="AQ77" i="2"/>
  <c r="AL77" i="2"/>
  <c r="AQ76" i="2"/>
  <c r="AL76" i="2"/>
  <c r="AQ75" i="2"/>
  <c r="AL75" i="2"/>
  <c r="AS75" i="2" s="1"/>
  <c r="AQ74" i="2"/>
  <c r="AL74" i="2"/>
  <c r="AN74" i="2" s="1"/>
  <c r="AQ73" i="2"/>
  <c r="AL73" i="2"/>
  <c r="AO73" i="2" s="1"/>
  <c r="AQ72" i="2"/>
  <c r="AL72" i="2"/>
  <c r="AQ71" i="2"/>
  <c r="AL71" i="2"/>
  <c r="AO71" i="2" s="1"/>
  <c r="AQ70" i="2"/>
  <c r="AL70" i="2"/>
  <c r="AO70" i="2" s="1"/>
  <c r="AQ69" i="2"/>
  <c r="AL69" i="2"/>
  <c r="AS69" i="2" s="1"/>
  <c r="AQ68" i="2"/>
  <c r="AL68" i="2"/>
  <c r="AO68" i="2" s="1"/>
  <c r="AQ67" i="2"/>
  <c r="AL67" i="2"/>
  <c r="AO67" i="2" s="1"/>
  <c r="AQ66" i="2"/>
  <c r="AL66" i="2"/>
  <c r="AQ65" i="2"/>
  <c r="AL65" i="2"/>
  <c r="AO65" i="2" s="1"/>
  <c r="AQ63" i="2"/>
  <c r="AL63" i="2"/>
  <c r="AS63" i="2" s="1"/>
  <c r="AQ61" i="2"/>
  <c r="AL61" i="2"/>
  <c r="AQ59" i="2"/>
  <c r="AL59" i="2"/>
  <c r="AO59" i="2" s="1"/>
  <c r="AQ58" i="2"/>
  <c r="AL58" i="2"/>
  <c r="AS58" i="2" s="1"/>
  <c r="AQ57" i="2"/>
  <c r="AL57" i="2"/>
  <c r="AO57" i="2" s="1"/>
  <c r="AQ56" i="2"/>
  <c r="AL56" i="2"/>
  <c r="AQ55" i="2"/>
  <c r="AL55" i="2"/>
  <c r="AS55" i="2" s="1"/>
  <c r="AQ54" i="2"/>
  <c r="AL54" i="2"/>
  <c r="AO54" i="2" s="1"/>
  <c r="AQ53" i="2"/>
  <c r="AL53" i="2"/>
  <c r="AQ52" i="2"/>
  <c r="AL52" i="2"/>
  <c r="AQ51" i="2"/>
  <c r="AL51" i="2"/>
  <c r="AQ50" i="2"/>
  <c r="AL50" i="2"/>
  <c r="AQ49" i="2"/>
  <c r="AL49" i="2"/>
  <c r="AS49" i="2" s="1"/>
  <c r="AQ48" i="2"/>
  <c r="AL48" i="2"/>
  <c r="AO48" i="2" s="1"/>
  <c r="AQ47" i="2"/>
  <c r="AL47" i="2"/>
  <c r="AO47" i="2" s="1"/>
  <c r="AQ46" i="2"/>
  <c r="AL46" i="2"/>
  <c r="AQ45" i="2"/>
  <c r="AL45" i="2"/>
  <c r="AQ44" i="2"/>
  <c r="AL44" i="2"/>
  <c r="AQ43" i="2"/>
  <c r="AL43" i="2"/>
  <c r="AQ42" i="2"/>
  <c r="AL42" i="2"/>
  <c r="AQ41" i="2"/>
  <c r="AL41" i="2"/>
  <c r="AQ39" i="2"/>
  <c r="AL39" i="2"/>
  <c r="AS39" i="2" s="1"/>
  <c r="AQ38" i="2"/>
  <c r="AL38" i="2"/>
  <c r="AQ37" i="2"/>
  <c r="AL37" i="2"/>
  <c r="AO37" i="2" s="1"/>
  <c r="AQ35" i="2"/>
  <c r="AQ34" i="2" s="1"/>
  <c r="AL35" i="2"/>
  <c r="AL34" i="2" s="1"/>
  <c r="AQ33" i="2"/>
  <c r="AL33" i="2"/>
  <c r="AS33" i="2" s="1"/>
  <c r="AQ31" i="2"/>
  <c r="AL31" i="2"/>
  <c r="AQ29" i="2"/>
  <c r="AL29" i="2"/>
  <c r="AS29" i="2" s="1"/>
  <c r="AQ28" i="2"/>
  <c r="AL28" i="2"/>
  <c r="AS28" i="2" s="1"/>
  <c r="AQ27" i="2"/>
  <c r="AL27" i="2"/>
  <c r="AO27" i="2" s="1"/>
  <c r="AQ26" i="2"/>
  <c r="AL26" i="2"/>
  <c r="AS26" i="2" s="1"/>
  <c r="AQ25" i="2"/>
  <c r="AL25" i="2"/>
  <c r="AS25" i="2" s="1"/>
  <c r="AQ24" i="2"/>
  <c r="AL24" i="2"/>
  <c r="AO24" i="2" s="1"/>
  <c r="AQ23" i="2"/>
  <c r="AL23" i="2"/>
  <c r="AS23" i="2" s="1"/>
  <c r="AQ22" i="2"/>
  <c r="AL22" i="2"/>
  <c r="AQ21" i="2"/>
  <c r="AL21" i="2"/>
  <c r="AQ20" i="2"/>
  <c r="AL20" i="2"/>
  <c r="AQ17" i="2"/>
  <c r="AL17" i="2"/>
  <c r="AQ16" i="2"/>
  <c r="AL16" i="2"/>
  <c r="AS16" i="2" s="1"/>
  <c r="AQ15" i="2"/>
  <c r="AL15" i="2"/>
  <c r="AS15" i="2" s="1"/>
  <c r="AQ14" i="2"/>
  <c r="AL14" i="2"/>
  <c r="AO14" i="2" s="1"/>
  <c r="AQ13" i="2"/>
  <c r="AL13" i="2"/>
  <c r="AS13" i="2" s="1"/>
  <c r="AQ12" i="2"/>
  <c r="AR12" i="6" s="1"/>
  <c r="AL12" i="2"/>
  <c r="AS12" i="2" s="1"/>
  <c r="AT12" i="6" s="1"/>
  <c r="AY83" i="2"/>
  <c r="AT83" i="2"/>
  <c r="BA83" i="2" s="1"/>
  <c r="AY82" i="2"/>
  <c r="AT82" i="2"/>
  <c r="BA82" i="2" s="1"/>
  <c r="AY81" i="2"/>
  <c r="AT81" i="2"/>
  <c r="AU81" i="2" s="1"/>
  <c r="AY80" i="2"/>
  <c r="AT80" i="2"/>
  <c r="BA80" i="2" s="1"/>
  <c r="AY79" i="2"/>
  <c r="AT79" i="2"/>
  <c r="BA79" i="2" s="1"/>
  <c r="AY78" i="2"/>
  <c r="AT78" i="2"/>
  <c r="AV78" i="2" s="1"/>
  <c r="AY77" i="2"/>
  <c r="AT77" i="2"/>
  <c r="AY76" i="2"/>
  <c r="AT76" i="2"/>
  <c r="AY75" i="2"/>
  <c r="AT75" i="2"/>
  <c r="AW75" i="2" s="1"/>
  <c r="AY74" i="2"/>
  <c r="AT74" i="2"/>
  <c r="AV74" i="2" s="1"/>
  <c r="AY73" i="2"/>
  <c r="AT73" i="2"/>
  <c r="AZ73" i="2" s="1"/>
  <c r="AY72" i="2"/>
  <c r="AT72" i="2"/>
  <c r="AY71" i="2"/>
  <c r="AT71" i="2"/>
  <c r="BA71" i="2" s="1"/>
  <c r="AY70" i="2"/>
  <c r="AT70" i="2"/>
  <c r="BA70" i="2" s="1"/>
  <c r="AY69" i="2"/>
  <c r="AT69" i="2"/>
  <c r="AU69" i="2" s="1"/>
  <c r="AY68" i="2"/>
  <c r="AT68" i="2"/>
  <c r="AZ68" i="2" s="1"/>
  <c r="AY67" i="2"/>
  <c r="AT67" i="2"/>
  <c r="AZ67" i="2" s="1"/>
  <c r="AY66" i="2"/>
  <c r="AT66" i="2"/>
  <c r="AY65" i="2"/>
  <c r="AT65" i="2"/>
  <c r="AZ65" i="2" s="1"/>
  <c r="AY63" i="2"/>
  <c r="AT63" i="2"/>
  <c r="AU63" i="2" s="1"/>
  <c r="AY61" i="2"/>
  <c r="AT61" i="2"/>
  <c r="AY59" i="2"/>
  <c r="AT59" i="2"/>
  <c r="AU59" i="2" s="1"/>
  <c r="AY58" i="2"/>
  <c r="AT58" i="2"/>
  <c r="BA58" i="2" s="1"/>
  <c r="AY57" i="2"/>
  <c r="AT57" i="2"/>
  <c r="AX57" i="2" s="1"/>
  <c r="AY56" i="2"/>
  <c r="AT56" i="2"/>
  <c r="AY55" i="2"/>
  <c r="AT55" i="2"/>
  <c r="AU55" i="2" s="1"/>
  <c r="AY54" i="2"/>
  <c r="AT54" i="2"/>
  <c r="AZ54" i="2" s="1"/>
  <c r="AY53" i="2"/>
  <c r="AT53" i="2"/>
  <c r="AY52" i="2"/>
  <c r="AT52" i="2"/>
  <c r="AY51" i="2"/>
  <c r="AT51" i="2"/>
  <c r="AY50" i="2"/>
  <c r="AT50" i="2"/>
  <c r="AY49" i="2"/>
  <c r="AT49" i="2"/>
  <c r="BA49" i="2" s="1"/>
  <c r="AY48" i="2"/>
  <c r="AT48" i="2"/>
  <c r="AV48" i="2" s="1"/>
  <c r="AY47" i="2"/>
  <c r="AT47" i="2"/>
  <c r="AU47" i="2" s="1"/>
  <c r="AY46" i="2"/>
  <c r="AT46" i="2"/>
  <c r="AY45" i="2"/>
  <c r="AT45" i="2"/>
  <c r="AY44" i="2"/>
  <c r="AT44" i="2"/>
  <c r="AY43" i="2"/>
  <c r="AT43" i="2"/>
  <c r="AY42" i="2"/>
  <c r="AT42" i="2"/>
  <c r="AY41" i="2"/>
  <c r="AT41" i="2"/>
  <c r="AY39" i="2"/>
  <c r="AT39" i="2"/>
  <c r="AW39" i="2" s="1"/>
  <c r="AY38" i="2"/>
  <c r="AT38" i="2"/>
  <c r="AY37" i="2"/>
  <c r="AT37" i="2"/>
  <c r="BA37" i="2" s="1"/>
  <c r="AY35" i="2"/>
  <c r="AY34" i="2" s="1"/>
  <c r="AT35" i="2"/>
  <c r="AT34" i="2" s="1"/>
  <c r="AY33" i="2"/>
  <c r="AT33" i="2"/>
  <c r="AV33" i="2" s="1"/>
  <c r="AY31" i="2"/>
  <c r="AT31" i="2"/>
  <c r="AY29" i="2"/>
  <c r="AT29" i="2"/>
  <c r="BA29" i="2" s="1"/>
  <c r="AY28" i="2"/>
  <c r="AT28" i="2"/>
  <c r="AX28" i="2" s="1"/>
  <c r="AY27" i="2"/>
  <c r="AT27" i="2"/>
  <c r="BA27" i="2" s="1"/>
  <c r="AY26" i="2"/>
  <c r="AT26" i="2"/>
  <c r="AU26" i="2" s="1"/>
  <c r="AY25" i="2"/>
  <c r="AT25" i="2"/>
  <c r="AZ25" i="2" s="1"/>
  <c r="AY24" i="2"/>
  <c r="AT24" i="2"/>
  <c r="AW24" i="2" s="1"/>
  <c r="AY23" i="2"/>
  <c r="AT23" i="2"/>
  <c r="AZ23" i="2" s="1"/>
  <c r="AY22" i="2"/>
  <c r="AT22" i="2"/>
  <c r="AY21" i="2"/>
  <c r="AT21" i="2"/>
  <c r="AY20" i="2"/>
  <c r="AT20" i="2"/>
  <c r="AY17" i="2"/>
  <c r="AT17" i="2"/>
  <c r="AY16" i="2"/>
  <c r="AT16" i="2"/>
  <c r="BA16" i="2" s="1"/>
  <c r="AY15" i="2"/>
  <c r="AT15" i="2"/>
  <c r="AX15" i="2" s="1"/>
  <c r="AY14" i="2"/>
  <c r="AT14" i="2"/>
  <c r="BA14" i="2" s="1"/>
  <c r="AY13" i="2"/>
  <c r="AT13" i="2"/>
  <c r="AU13" i="2" s="1"/>
  <c r="AY12" i="2"/>
  <c r="AZ12" i="6" s="1"/>
  <c r="AT12" i="2"/>
  <c r="AZ12" i="2" s="1"/>
  <c r="BA12" i="6" s="1"/>
  <c r="O83" i="2"/>
  <c r="N83" i="2"/>
  <c r="O82" i="2"/>
  <c r="N82" i="2"/>
  <c r="O81" i="2"/>
  <c r="N81" i="2"/>
  <c r="O80" i="2"/>
  <c r="N80" i="2"/>
  <c r="O79" i="2"/>
  <c r="N79" i="2"/>
  <c r="O78" i="2"/>
  <c r="N78" i="2"/>
  <c r="O77" i="2"/>
  <c r="N77" i="2"/>
  <c r="O76" i="2"/>
  <c r="N76" i="2"/>
  <c r="O75" i="2"/>
  <c r="N75" i="2"/>
  <c r="O74" i="2"/>
  <c r="N74" i="2"/>
  <c r="O73" i="2"/>
  <c r="N73" i="2"/>
  <c r="O72" i="2"/>
  <c r="N72" i="2"/>
  <c r="O71" i="2"/>
  <c r="N71" i="2"/>
  <c r="O70" i="2"/>
  <c r="N70" i="2"/>
  <c r="O69" i="2"/>
  <c r="N69" i="2"/>
  <c r="O68" i="2"/>
  <c r="N68" i="2"/>
  <c r="O67" i="2"/>
  <c r="N67" i="2"/>
  <c r="O66" i="2"/>
  <c r="N66" i="2"/>
  <c r="O65" i="2"/>
  <c r="N65" i="2"/>
  <c r="O63" i="2"/>
  <c r="N63" i="2"/>
  <c r="O61" i="2"/>
  <c r="N61" i="2"/>
  <c r="O59" i="2"/>
  <c r="N59" i="2"/>
  <c r="O58" i="2"/>
  <c r="N58" i="2"/>
  <c r="O57" i="2"/>
  <c r="N57" i="2"/>
  <c r="O56" i="2"/>
  <c r="N56" i="2"/>
  <c r="O55" i="2"/>
  <c r="N55" i="2"/>
  <c r="O54" i="2"/>
  <c r="N54" i="2"/>
  <c r="O53" i="2"/>
  <c r="N53" i="2"/>
  <c r="O52" i="2"/>
  <c r="N52" i="2"/>
  <c r="O51" i="2"/>
  <c r="N51" i="2"/>
  <c r="O50" i="2"/>
  <c r="N50" i="2"/>
  <c r="O49" i="2"/>
  <c r="N49" i="2"/>
  <c r="O48" i="2"/>
  <c r="N48" i="2"/>
  <c r="O47" i="2"/>
  <c r="N47" i="2"/>
  <c r="O46" i="2"/>
  <c r="N46" i="2"/>
  <c r="O45" i="2"/>
  <c r="N45" i="2"/>
  <c r="O44" i="2"/>
  <c r="N44" i="2"/>
  <c r="O43" i="2"/>
  <c r="N43" i="2"/>
  <c r="O42" i="2"/>
  <c r="N42" i="2"/>
  <c r="O41" i="2"/>
  <c r="N41" i="2"/>
  <c r="O39" i="2"/>
  <c r="N39" i="2"/>
  <c r="O38" i="2"/>
  <c r="N38" i="2"/>
  <c r="O37" i="2"/>
  <c r="N37" i="2"/>
  <c r="O35" i="2"/>
  <c r="O34" i="2" s="1"/>
  <c r="N35" i="2"/>
  <c r="N34" i="2" s="1"/>
  <c r="O33" i="2"/>
  <c r="N33" i="2"/>
  <c r="O31" i="2"/>
  <c r="N31" i="2"/>
  <c r="O29" i="2"/>
  <c r="N29" i="2"/>
  <c r="O28" i="2"/>
  <c r="N28" i="2"/>
  <c r="O27" i="2"/>
  <c r="N27" i="2"/>
  <c r="O26" i="2"/>
  <c r="N26" i="2"/>
  <c r="O25" i="2"/>
  <c r="N25" i="2"/>
  <c r="O24" i="2"/>
  <c r="N24" i="2"/>
  <c r="O23" i="2"/>
  <c r="N23" i="2"/>
  <c r="O22" i="2"/>
  <c r="N22" i="2"/>
  <c r="O21" i="2"/>
  <c r="N21" i="2"/>
  <c r="O20" i="2"/>
  <c r="N20" i="2"/>
  <c r="O17" i="2"/>
  <c r="N17" i="2"/>
  <c r="O16" i="2"/>
  <c r="N16" i="2"/>
  <c r="O15" i="2"/>
  <c r="N15" i="2"/>
  <c r="O14" i="2"/>
  <c r="N14" i="2"/>
  <c r="O13" i="2"/>
  <c r="N13" i="2"/>
  <c r="O12" i="2"/>
  <c r="P12" i="6" s="1"/>
  <c r="N12" i="2"/>
  <c r="O12" i="6" s="1"/>
  <c r="G83" i="2"/>
  <c r="F83" i="2"/>
  <c r="G82" i="2"/>
  <c r="F82" i="2"/>
  <c r="G81" i="2"/>
  <c r="F81" i="2"/>
  <c r="J81" i="2" s="1"/>
  <c r="G80" i="2"/>
  <c r="F80" i="2"/>
  <c r="G79" i="2"/>
  <c r="F79" i="2"/>
  <c r="G78" i="2"/>
  <c r="F78" i="2"/>
  <c r="G77" i="2"/>
  <c r="F77" i="2"/>
  <c r="G76" i="2"/>
  <c r="F76" i="2"/>
  <c r="G75" i="2"/>
  <c r="F75" i="2"/>
  <c r="G74" i="2"/>
  <c r="F74" i="2"/>
  <c r="G73" i="2"/>
  <c r="F73" i="2"/>
  <c r="G72" i="2"/>
  <c r="F72" i="2"/>
  <c r="G71" i="2"/>
  <c r="F71" i="2"/>
  <c r="G70" i="2"/>
  <c r="F70" i="2"/>
  <c r="G69" i="2"/>
  <c r="F69" i="2"/>
  <c r="G68" i="2"/>
  <c r="F68" i="2"/>
  <c r="G67" i="2"/>
  <c r="F67" i="2"/>
  <c r="G66" i="2"/>
  <c r="F66" i="2"/>
  <c r="G65" i="2"/>
  <c r="F65" i="2"/>
  <c r="G63" i="2"/>
  <c r="F63" i="2"/>
  <c r="G61" i="2"/>
  <c r="F61" i="2"/>
  <c r="G59" i="2"/>
  <c r="F59" i="2"/>
  <c r="G58" i="2"/>
  <c r="F58" i="2"/>
  <c r="G57" i="2"/>
  <c r="F57" i="2"/>
  <c r="G56" i="2"/>
  <c r="F56" i="2"/>
  <c r="G55" i="2"/>
  <c r="F55" i="2"/>
  <c r="G54" i="2"/>
  <c r="F54" i="2"/>
  <c r="G53" i="2"/>
  <c r="F53" i="2"/>
  <c r="G52" i="2"/>
  <c r="F52" i="2"/>
  <c r="G51" i="2"/>
  <c r="F51" i="2"/>
  <c r="G50" i="2"/>
  <c r="F50" i="2"/>
  <c r="G49" i="2"/>
  <c r="F49" i="2"/>
  <c r="G48" i="2"/>
  <c r="F48" i="2"/>
  <c r="G47" i="2"/>
  <c r="F47" i="2"/>
  <c r="G46" i="2"/>
  <c r="F46" i="2"/>
  <c r="G45" i="2"/>
  <c r="F45" i="2"/>
  <c r="G44" i="2"/>
  <c r="F44" i="2"/>
  <c r="G43" i="2"/>
  <c r="F43" i="2"/>
  <c r="G42" i="2"/>
  <c r="F42" i="2"/>
  <c r="G41" i="2"/>
  <c r="F41" i="2"/>
  <c r="G39" i="2"/>
  <c r="F39" i="2"/>
  <c r="G38" i="2"/>
  <c r="F38" i="2"/>
  <c r="G37" i="2"/>
  <c r="F37" i="2"/>
  <c r="G35" i="2"/>
  <c r="G34" i="2" s="1"/>
  <c r="F35" i="2"/>
  <c r="F34" i="2" s="1"/>
  <c r="G33" i="2"/>
  <c r="F33" i="2"/>
  <c r="G31" i="2"/>
  <c r="F31" i="2"/>
  <c r="G29" i="2"/>
  <c r="F29" i="2"/>
  <c r="G28" i="2"/>
  <c r="F28" i="2"/>
  <c r="G27" i="2"/>
  <c r="F27" i="2"/>
  <c r="G26" i="2"/>
  <c r="F26" i="2"/>
  <c r="G25" i="2"/>
  <c r="F25" i="2"/>
  <c r="G24" i="2"/>
  <c r="F24" i="2"/>
  <c r="G23" i="2"/>
  <c r="F23" i="2"/>
  <c r="G22" i="2"/>
  <c r="F22" i="2"/>
  <c r="G21" i="2"/>
  <c r="F21" i="2"/>
  <c r="G20" i="2"/>
  <c r="F20" i="2"/>
  <c r="G17" i="2"/>
  <c r="F17" i="2"/>
  <c r="G16" i="2"/>
  <c r="F16" i="2"/>
  <c r="G15" i="2"/>
  <c r="F15" i="2"/>
  <c r="G14" i="2"/>
  <c r="F14" i="2"/>
  <c r="G13" i="2"/>
  <c r="F13" i="2"/>
  <c r="G12" i="2"/>
  <c r="H12" i="6" s="1"/>
  <c r="F12" i="2"/>
  <c r="G12" i="6" s="1"/>
  <c r="M2" i="1"/>
  <c r="D2" i="1"/>
  <c r="BB34" i="2" l="1"/>
  <c r="AA34" i="2"/>
  <c r="L62" i="2"/>
  <c r="M62" i="2" s="1"/>
  <c r="BN62" i="2"/>
  <c r="H62" i="2"/>
  <c r="K62" i="2" s="1"/>
  <c r="P62" i="2"/>
  <c r="X62" i="2"/>
  <c r="W62" i="2" s="1"/>
  <c r="AF62" i="2"/>
  <c r="AN62" i="2"/>
  <c r="AV62" i="2"/>
  <c r="BD62" i="2"/>
  <c r="BL62" i="2"/>
  <c r="BO62" i="2" s="1"/>
  <c r="Y62" i="2"/>
  <c r="AB62" i="2" s="1"/>
  <c r="AC62" i="2" s="1"/>
  <c r="AG62" i="2"/>
  <c r="AO62" i="2"/>
  <c r="AW62" i="2"/>
  <c r="BE62" i="2"/>
  <c r="Z62" i="2"/>
  <c r="AH62" i="2"/>
  <c r="AP62" i="2"/>
  <c r="AX62" i="2"/>
  <c r="BF62" i="2"/>
  <c r="BG62" i="2"/>
  <c r="AJ62" i="2"/>
  <c r="AR62" i="2"/>
  <c r="AZ62" i="2"/>
  <c r="BH62" i="2"/>
  <c r="Q18" i="2"/>
  <c r="D11" i="5"/>
  <c r="BM18" i="2"/>
  <c r="D12" i="5"/>
  <c r="I18" i="2"/>
  <c r="Y18" i="2"/>
  <c r="X18" i="2" s="1"/>
  <c r="H18" i="2"/>
  <c r="P18" i="2"/>
  <c r="BL18" i="2"/>
  <c r="BO18" i="2" s="1"/>
  <c r="AG18" i="2"/>
  <c r="AO18" i="2"/>
  <c r="AW18" i="2"/>
  <c r="BE18" i="2"/>
  <c r="BD18" i="2" s="1"/>
  <c r="AB12" i="6"/>
  <c r="BM49" i="2"/>
  <c r="AE12" i="6"/>
  <c r="AM12" i="6"/>
  <c r="AU12" i="6"/>
  <c r="BC12" i="6"/>
  <c r="BM74" i="2"/>
  <c r="H14" i="6"/>
  <c r="K14" i="6" s="1"/>
  <c r="P14" i="6"/>
  <c r="T14" i="6" s="1"/>
  <c r="BL14" i="6"/>
  <c r="BO14" i="6" s="1"/>
  <c r="Y14" i="6"/>
  <c r="X14" i="6" s="1"/>
  <c r="I13" i="6"/>
  <c r="Q13" i="6"/>
  <c r="T13" i="6" s="1"/>
  <c r="H13" i="6"/>
  <c r="P13" i="6"/>
  <c r="BL13" i="6"/>
  <c r="BO13" i="6" s="1"/>
  <c r="Y13" i="6"/>
  <c r="X13" i="6" s="1"/>
  <c r="AG13" i="6"/>
  <c r="AF13" i="6" s="1"/>
  <c r="AE13" i="6" s="1"/>
  <c r="AO13" i="6"/>
  <c r="AN13" i="6" s="1"/>
  <c r="AM13" i="6" s="1"/>
  <c r="AW13" i="6"/>
  <c r="AV13" i="6" s="1"/>
  <c r="BE13" i="6"/>
  <c r="BM35" i="2"/>
  <c r="BM34" i="2" s="1"/>
  <c r="D8" i="5"/>
  <c r="BM43" i="2"/>
  <c r="BM55" i="2"/>
  <c r="BM59" i="2"/>
  <c r="D3" i="5"/>
  <c r="D4" i="5"/>
  <c r="G14" i="3"/>
  <c r="BF14" i="2"/>
  <c r="BM73" i="2"/>
  <c r="BL79" i="2"/>
  <c r="BN79" i="2" s="1"/>
  <c r="G12" i="3"/>
  <c r="BF79" i="2"/>
  <c r="BQ81" i="2"/>
  <c r="BM29" i="2"/>
  <c r="BM39" i="2"/>
  <c r="BM46" i="2"/>
  <c r="BM52" i="2"/>
  <c r="BM58" i="2"/>
  <c r="G13" i="3"/>
  <c r="BG59" i="2"/>
  <c r="BM27" i="2"/>
  <c r="BG74" i="2"/>
  <c r="BG47" i="2"/>
  <c r="BM66" i="2"/>
  <c r="BM72" i="2"/>
  <c r="BG23" i="2"/>
  <c r="BL59" i="2"/>
  <c r="BP59" i="2" s="1"/>
  <c r="BM33" i="2"/>
  <c r="BM54" i="2"/>
  <c r="BM80" i="2"/>
  <c r="BF15" i="2"/>
  <c r="BF27" i="2"/>
  <c r="BH79" i="2"/>
  <c r="BL70" i="2"/>
  <c r="BN70" i="2" s="1"/>
  <c r="BM76" i="2"/>
  <c r="BF70" i="2"/>
  <c r="BM16" i="2"/>
  <c r="BM23" i="2"/>
  <c r="BG55" i="2"/>
  <c r="BG15" i="2"/>
  <c r="BM31" i="2"/>
  <c r="BC14" i="3"/>
  <c r="BG27" i="2"/>
  <c r="BG48" i="2"/>
  <c r="BM12" i="2"/>
  <c r="BN12" i="6" s="1"/>
  <c r="BM67" i="2"/>
  <c r="BM79" i="2"/>
  <c r="BG75" i="2"/>
  <c r="BG39" i="2"/>
  <c r="BL14" i="2"/>
  <c r="BN14" i="2" s="1"/>
  <c r="BL27" i="2"/>
  <c r="BP27" i="2" s="1"/>
  <c r="BG33" i="2"/>
  <c r="BH14" i="2"/>
  <c r="BG67" i="2"/>
  <c r="BM37" i="2"/>
  <c r="BM50" i="2"/>
  <c r="BM56" i="2"/>
  <c r="BM63" i="2"/>
  <c r="BG82" i="2"/>
  <c r="BG70" i="2"/>
  <c r="BG14" i="2"/>
  <c r="BG26" i="2"/>
  <c r="BG13" i="2"/>
  <c r="BM17" i="2"/>
  <c r="BM24" i="2"/>
  <c r="BM65" i="2"/>
  <c r="BF67" i="2"/>
  <c r="BG68" i="2"/>
  <c r="BG54" i="2"/>
  <c r="BM41" i="2"/>
  <c r="BM47" i="2"/>
  <c r="BM71" i="2"/>
  <c r="BG79" i="2"/>
  <c r="BG53" i="2"/>
  <c r="BE53" i="2" s="1"/>
  <c r="BG41" i="2"/>
  <c r="BE41" i="2" s="1"/>
  <c r="BM13" i="2"/>
  <c r="BM20" i="2"/>
  <c r="BM26" i="2"/>
  <c r="BM78" i="2"/>
  <c r="BK12" i="3"/>
  <c r="BG37" i="2"/>
  <c r="BG21" i="2"/>
  <c r="BF59" i="2"/>
  <c r="BG63" i="2"/>
  <c r="BG49" i="2"/>
  <c r="BM14" i="2"/>
  <c r="BG12" i="2"/>
  <c r="BH12" i="6" s="1"/>
  <c r="BG58" i="2"/>
  <c r="BG29" i="2"/>
  <c r="BG16" i="2"/>
  <c r="BM45" i="2"/>
  <c r="BM69" i="2"/>
  <c r="BM75" i="2"/>
  <c r="BL80" i="2"/>
  <c r="BM22" i="2"/>
  <c r="BG71" i="2"/>
  <c r="BG57" i="2"/>
  <c r="BG28" i="2"/>
  <c r="BL37" i="2"/>
  <c r="BN37" i="2" s="1"/>
  <c r="BM70" i="2"/>
  <c r="BL24" i="2"/>
  <c r="BM44" i="2"/>
  <c r="BL73" i="2"/>
  <c r="BO73" i="2" s="1"/>
  <c r="BL41" i="2"/>
  <c r="BL47" i="2"/>
  <c r="BM15" i="2"/>
  <c r="BM25" i="2"/>
  <c r="BM38" i="2"/>
  <c r="BM48" i="2"/>
  <c r="BM57" i="2"/>
  <c r="BM68" i="2"/>
  <c r="BM77" i="2"/>
  <c r="BL21" i="2"/>
  <c r="BL31" i="2"/>
  <c r="BL44" i="2"/>
  <c r="BL53" i="2"/>
  <c r="BN53" i="2" s="1"/>
  <c r="BM21" i="2"/>
  <c r="BM53" i="2"/>
  <c r="BL78" i="2"/>
  <c r="BN78" i="2" s="1"/>
  <c r="BL17" i="2"/>
  <c r="BL50" i="2"/>
  <c r="BM82" i="2"/>
  <c r="BM28" i="2"/>
  <c r="BM42" i="2"/>
  <c r="BM51" i="2"/>
  <c r="BM61" i="2"/>
  <c r="BL56" i="2"/>
  <c r="BO56" i="2" s="1"/>
  <c r="BL67" i="2"/>
  <c r="BL76" i="2"/>
  <c r="BM83" i="2"/>
  <c r="BL13" i="2"/>
  <c r="BL16" i="2"/>
  <c r="BL20" i="2"/>
  <c r="BL23" i="2"/>
  <c r="BL26" i="2"/>
  <c r="BL29" i="2"/>
  <c r="BL35" i="2"/>
  <c r="BL34" i="2" s="1"/>
  <c r="BL39" i="2"/>
  <c r="BL43" i="2"/>
  <c r="BL46" i="2"/>
  <c r="BL49" i="2"/>
  <c r="BL14" i="3" s="1"/>
  <c r="BL52" i="2"/>
  <c r="BL55" i="2"/>
  <c r="BO55" i="2" s="1"/>
  <c r="BL58" i="2"/>
  <c r="BL63" i="2"/>
  <c r="BL66" i="2"/>
  <c r="BL69" i="2"/>
  <c r="BL72" i="2"/>
  <c r="BL75" i="2"/>
  <c r="BN75" i="2" s="1"/>
  <c r="BL83" i="2"/>
  <c r="BL12" i="2"/>
  <c r="BM12" i="6" s="1"/>
  <c r="BL15" i="2"/>
  <c r="BL22" i="2"/>
  <c r="BL25" i="2"/>
  <c r="BL28" i="2"/>
  <c r="BL33" i="2"/>
  <c r="BL38" i="2"/>
  <c r="BL42" i="2"/>
  <c r="BL45" i="2"/>
  <c r="BL48" i="2"/>
  <c r="BL51" i="2"/>
  <c r="BL54" i="2"/>
  <c r="BL57" i="2"/>
  <c r="BL61" i="2"/>
  <c r="BL65" i="2"/>
  <c r="BL68" i="2"/>
  <c r="BL71" i="2"/>
  <c r="BL74" i="2"/>
  <c r="BL77" i="2"/>
  <c r="BL82" i="2"/>
  <c r="BE31" i="2"/>
  <c r="BD31" i="2" s="1"/>
  <c r="BF31" i="2" s="1"/>
  <c r="BE73" i="2"/>
  <c r="BD73" i="2" s="1"/>
  <c r="BF73" i="2" s="1"/>
  <c r="BE17" i="2"/>
  <c r="BD17" i="2" s="1"/>
  <c r="BF17" i="2" s="1"/>
  <c r="BE24" i="2"/>
  <c r="BD24" i="2" s="1"/>
  <c r="BF24" i="2" s="1"/>
  <c r="BE44" i="2"/>
  <c r="BD44" i="2" s="1"/>
  <c r="BF44" i="2" s="1"/>
  <c r="BE50" i="2"/>
  <c r="BD50" i="2" s="1"/>
  <c r="BF50" i="2" s="1"/>
  <c r="BE56" i="2"/>
  <c r="BD56" i="2" s="1"/>
  <c r="BF56" i="2" s="1"/>
  <c r="BE76" i="2"/>
  <c r="BD76" i="2" s="1"/>
  <c r="BF76" i="2" s="1"/>
  <c r="BH47" i="2"/>
  <c r="BF12" i="2"/>
  <c r="BG12" i="6" s="1"/>
  <c r="BH27" i="2"/>
  <c r="BF37" i="2"/>
  <c r="BH59" i="2"/>
  <c r="BH70" i="2"/>
  <c r="BH37" i="2"/>
  <c r="BH67" i="2"/>
  <c r="BC82" i="2"/>
  <c r="BF82" i="2"/>
  <c r="BH82" i="2"/>
  <c r="BF47" i="2"/>
  <c r="BD26" i="2"/>
  <c r="BD29" i="2"/>
  <c r="BD49" i="2"/>
  <c r="BE14" i="3" s="1"/>
  <c r="BD55" i="2"/>
  <c r="BD58" i="2"/>
  <c r="BD75" i="2"/>
  <c r="BE13" i="2"/>
  <c r="BI14" i="2"/>
  <c r="BE16" i="2"/>
  <c r="BE20" i="2"/>
  <c r="BD20" i="2" s="1"/>
  <c r="BE23" i="2"/>
  <c r="BE26" i="2"/>
  <c r="BI27" i="2"/>
  <c r="BE29" i="2"/>
  <c r="BE35" i="2"/>
  <c r="BE34" i="2" s="1"/>
  <c r="BI37" i="2"/>
  <c r="BE39" i="2"/>
  <c r="BE43" i="2"/>
  <c r="BD43" i="2" s="1"/>
  <c r="BE46" i="2"/>
  <c r="BI47" i="2"/>
  <c r="BE49" i="2"/>
  <c r="BF14" i="3" s="1"/>
  <c r="BE52" i="2"/>
  <c r="BD52" i="2" s="1"/>
  <c r="BE55" i="2"/>
  <c r="BE58" i="2"/>
  <c r="BI59" i="2"/>
  <c r="BE63" i="2"/>
  <c r="BE66" i="2"/>
  <c r="BD66" i="2" s="1"/>
  <c r="BI67" i="2"/>
  <c r="BE69" i="2"/>
  <c r="BI70" i="2"/>
  <c r="BE72" i="2"/>
  <c r="BE75" i="2"/>
  <c r="BE78" i="2"/>
  <c r="BD78" i="2" s="1"/>
  <c r="BI79" i="2"/>
  <c r="BE81" i="2"/>
  <c r="BD81" i="2" s="1"/>
  <c r="BC81" i="2" s="1"/>
  <c r="BI82" i="2"/>
  <c r="BD39" i="2"/>
  <c r="BF13" i="2"/>
  <c r="BF29" i="2"/>
  <c r="BF39" i="2"/>
  <c r="BF49" i="2"/>
  <c r="BF55" i="2"/>
  <c r="BF58" i="2"/>
  <c r="BF63" i="2"/>
  <c r="BF75" i="2"/>
  <c r="BC23" i="2"/>
  <c r="BC26" i="2"/>
  <c r="BC39" i="2"/>
  <c r="BC58" i="2"/>
  <c r="BD13" i="2"/>
  <c r="BD63" i="2"/>
  <c r="BF16" i="2"/>
  <c r="BF23" i="2"/>
  <c r="BC12" i="2"/>
  <c r="BC15" i="2"/>
  <c r="BC28" i="2"/>
  <c r="BC33" i="2"/>
  <c r="BC48" i="2"/>
  <c r="BC54" i="2"/>
  <c r="BC57" i="2"/>
  <c r="BC68" i="2"/>
  <c r="BC71" i="2"/>
  <c r="BC74" i="2"/>
  <c r="BC13" i="2"/>
  <c r="BC63" i="2"/>
  <c r="BC75" i="2"/>
  <c r="BD12" i="2"/>
  <c r="BE12" i="6" s="1"/>
  <c r="BH13" i="2"/>
  <c r="BD15" i="2"/>
  <c r="BH16" i="2"/>
  <c r="BH23" i="2"/>
  <c r="BH26" i="2"/>
  <c r="BD28" i="2"/>
  <c r="BH29" i="2"/>
  <c r="BD33" i="2"/>
  <c r="BH39" i="2"/>
  <c r="BD48" i="2"/>
  <c r="BH49" i="2"/>
  <c r="BI14" i="3" s="1"/>
  <c r="BD54" i="2"/>
  <c r="BH55" i="2"/>
  <c r="BD57" i="2"/>
  <c r="BH58" i="2"/>
  <c r="BH63" i="2"/>
  <c r="BD68" i="2"/>
  <c r="BD71" i="2"/>
  <c r="BD74" i="2"/>
  <c r="BH75" i="2"/>
  <c r="BD23" i="2"/>
  <c r="BF26" i="2"/>
  <c r="BE12" i="2"/>
  <c r="BF12" i="6" s="1"/>
  <c r="BE15" i="2"/>
  <c r="BI16" i="2"/>
  <c r="BE22" i="2"/>
  <c r="BD22" i="2" s="1"/>
  <c r="BE25" i="2"/>
  <c r="BE28" i="2"/>
  <c r="BI29" i="2"/>
  <c r="BE33" i="2"/>
  <c r="BE38" i="2"/>
  <c r="BD38" i="2" s="1"/>
  <c r="BC38" i="2" s="1"/>
  <c r="BE42" i="2"/>
  <c r="BE45" i="2"/>
  <c r="BD45" i="2" s="1"/>
  <c r="BE48" i="2"/>
  <c r="BI49" i="2"/>
  <c r="BK14" i="3" s="1"/>
  <c r="BE51" i="2"/>
  <c r="BE54" i="2"/>
  <c r="BI55" i="2"/>
  <c r="BE57" i="2"/>
  <c r="BE61" i="2"/>
  <c r="BD61" i="2" s="1"/>
  <c r="BE65" i="2"/>
  <c r="BE68" i="2"/>
  <c r="BE71" i="2"/>
  <c r="BE74" i="2"/>
  <c r="BE77" i="2"/>
  <c r="BD77" i="2" s="1"/>
  <c r="BE80" i="2"/>
  <c r="BE83" i="2"/>
  <c r="BD83" i="2" s="1"/>
  <c r="BD16" i="2"/>
  <c r="BF28" i="2"/>
  <c r="BF33" i="2"/>
  <c r="BF48" i="2"/>
  <c r="BF54" i="2"/>
  <c r="BF57" i="2"/>
  <c r="BF68" i="2"/>
  <c r="BF71" i="2"/>
  <c r="BF74" i="2"/>
  <c r="BC14" i="2"/>
  <c r="BC27" i="2"/>
  <c r="BC37" i="2"/>
  <c r="BC47" i="2"/>
  <c r="BC59" i="2"/>
  <c r="BC67" i="2"/>
  <c r="BC70" i="2"/>
  <c r="BC79" i="2"/>
  <c r="BH12" i="2"/>
  <c r="BI12" i="6" s="1"/>
  <c r="BD14" i="2"/>
  <c r="BH15" i="2"/>
  <c r="BD27" i="2"/>
  <c r="BH28" i="2"/>
  <c r="BH33" i="2"/>
  <c r="BD37" i="2"/>
  <c r="BD47" i="2"/>
  <c r="BH48" i="2"/>
  <c r="BH54" i="2"/>
  <c r="BH57" i="2"/>
  <c r="BD59" i="2"/>
  <c r="BD67" i="2"/>
  <c r="BH68" i="2"/>
  <c r="BD70" i="2"/>
  <c r="BH71" i="2"/>
  <c r="BH74" i="2"/>
  <c r="BD79" i="2"/>
  <c r="BD82" i="2"/>
  <c r="AH26" i="2"/>
  <c r="AO51" i="2"/>
  <c r="AN51" i="2" s="1"/>
  <c r="AR51" i="2" s="1"/>
  <c r="AS51" i="2" s="1"/>
  <c r="Y83" i="2"/>
  <c r="X83" i="2" s="1"/>
  <c r="AO74" i="2"/>
  <c r="AO76" i="2"/>
  <c r="AN76" i="2" s="1"/>
  <c r="AR76" i="2" s="1"/>
  <c r="AS76" i="2" s="1"/>
  <c r="Y17" i="2"/>
  <c r="X17" i="2" s="1"/>
  <c r="Z17" i="2" s="1"/>
  <c r="Y24" i="2"/>
  <c r="X24" i="2" s="1"/>
  <c r="Z24" i="2" s="1"/>
  <c r="Y31" i="2"/>
  <c r="X31" i="2" s="1"/>
  <c r="Z31" i="2" s="1"/>
  <c r="Y41" i="2"/>
  <c r="X41" i="2" s="1"/>
  <c r="Z41" i="2" s="1"/>
  <c r="Y47" i="2"/>
  <c r="X47" i="2" s="1"/>
  <c r="Z47" i="2" s="1"/>
  <c r="Y53" i="2"/>
  <c r="X53" i="2" s="1"/>
  <c r="AB53" i="2" s="1"/>
  <c r="AC53" i="2" s="1"/>
  <c r="Y59" i="2"/>
  <c r="X59" i="2" s="1"/>
  <c r="Z59" i="2" s="1"/>
  <c r="Y67" i="2"/>
  <c r="X67" i="2" s="1"/>
  <c r="W67" i="2" s="1"/>
  <c r="Y14" i="2"/>
  <c r="X14" i="2" s="1"/>
  <c r="Z14" i="2" s="1"/>
  <c r="Y21" i="2"/>
  <c r="X21" i="2" s="1"/>
  <c r="Z21" i="2" s="1"/>
  <c r="Y27" i="2"/>
  <c r="X27" i="2" s="1"/>
  <c r="Z27" i="2" s="1"/>
  <c r="Y37" i="2"/>
  <c r="X37" i="2" s="1"/>
  <c r="AB37" i="2" s="1"/>
  <c r="AC37" i="2" s="1"/>
  <c r="Y44" i="2"/>
  <c r="X44" i="2" s="1"/>
  <c r="Z44" i="2" s="1"/>
  <c r="Y50" i="2"/>
  <c r="X50" i="2" s="1"/>
  <c r="Y56" i="2"/>
  <c r="X56" i="2" s="1"/>
  <c r="AB56" i="2" s="1"/>
  <c r="AC56" i="2" s="1"/>
  <c r="AP74" i="2"/>
  <c r="AH69" i="2"/>
  <c r="AG50" i="2"/>
  <c r="AF50" i="2" s="1"/>
  <c r="AJ50" i="2" s="1"/>
  <c r="AK50" i="2" s="1"/>
  <c r="AG56" i="2"/>
  <c r="AF56" i="2" s="1"/>
  <c r="AE56" i="2" s="1"/>
  <c r="AE13" i="2"/>
  <c r="Y79" i="2"/>
  <c r="X79" i="2" s="1"/>
  <c r="W79" i="2" s="1"/>
  <c r="AM71" i="2"/>
  <c r="AR74" i="2"/>
  <c r="AH13" i="2"/>
  <c r="AG53" i="2"/>
  <c r="AF53" i="2" s="1"/>
  <c r="AH53" i="2" s="1"/>
  <c r="AI13" i="3" s="1"/>
  <c r="AN71" i="2"/>
  <c r="AS74" i="2"/>
  <c r="Y54" i="2"/>
  <c r="X54" i="2" s="1"/>
  <c r="AB54" i="2" s="1"/>
  <c r="AC54" i="2" s="1"/>
  <c r="Y61" i="2"/>
  <c r="X61" i="2" s="1"/>
  <c r="Y68" i="2"/>
  <c r="X68" i="2" s="1"/>
  <c r="Z68" i="2" s="1"/>
  <c r="AM25" i="2"/>
  <c r="AR71" i="2"/>
  <c r="AG49" i="2"/>
  <c r="AP25" i="2"/>
  <c r="AH49" i="2"/>
  <c r="AI14" i="3" s="1"/>
  <c r="AG69" i="2"/>
  <c r="AH16" i="2"/>
  <c r="Y57" i="2"/>
  <c r="X57" i="2" s="1"/>
  <c r="Y65" i="2"/>
  <c r="X65" i="2" s="1"/>
  <c r="Y12" i="2"/>
  <c r="Z12" i="6" s="1"/>
  <c r="Y25" i="2"/>
  <c r="X25" i="2" s="1"/>
  <c r="W25" i="2" s="1"/>
  <c r="Y33" i="2"/>
  <c r="X33" i="2" s="1"/>
  <c r="W33" i="2" s="1"/>
  <c r="Y42" i="2"/>
  <c r="X42" i="2" s="1"/>
  <c r="AB42" i="2" s="1"/>
  <c r="AC42" i="2" s="1"/>
  <c r="M6" i="5" s="1"/>
  <c r="Y48" i="2"/>
  <c r="X48" i="2" s="1"/>
  <c r="AB48" i="2" s="1"/>
  <c r="AC48" i="2" s="1"/>
  <c r="Y73" i="2"/>
  <c r="X73" i="2" s="1"/>
  <c r="Z73" i="2" s="1"/>
  <c r="Y15" i="2"/>
  <c r="X15" i="2" s="1"/>
  <c r="Y22" i="2"/>
  <c r="X22" i="2" s="1"/>
  <c r="AB22" i="2" s="1"/>
  <c r="AC22" i="2" s="1"/>
  <c r="Y28" i="2"/>
  <c r="X28" i="2" s="1"/>
  <c r="Y38" i="2"/>
  <c r="X38" i="2" s="1"/>
  <c r="AB38" i="2" s="1"/>
  <c r="AC38" i="2" s="1"/>
  <c r="M5" i="5" s="1"/>
  <c r="Y45" i="2"/>
  <c r="X45" i="2" s="1"/>
  <c r="AB45" i="2" s="1"/>
  <c r="AC45" i="2" s="1"/>
  <c r="M8" i="5" s="1"/>
  <c r="Y51" i="2"/>
  <c r="X51" i="2" s="1"/>
  <c r="AB51" i="2" s="1"/>
  <c r="AC51" i="2" s="1"/>
  <c r="Y70" i="2"/>
  <c r="X70" i="2" s="1"/>
  <c r="W70" i="2" s="1"/>
  <c r="Y76" i="2"/>
  <c r="X76" i="2" s="1"/>
  <c r="AB76" i="2" s="1"/>
  <c r="AC76" i="2" s="1"/>
  <c r="Y82" i="2"/>
  <c r="X82" i="2" s="1"/>
  <c r="Y77" i="2"/>
  <c r="X77" i="2" s="1"/>
  <c r="AB77" i="2" s="1"/>
  <c r="AC77" i="2" s="1"/>
  <c r="Y74" i="2"/>
  <c r="Y80" i="2"/>
  <c r="X80" i="2" s="1"/>
  <c r="Y71" i="2"/>
  <c r="Y49" i="2"/>
  <c r="Y52" i="2"/>
  <c r="X52" i="2" s="1"/>
  <c r="Y66" i="2"/>
  <c r="X66" i="2" s="1"/>
  <c r="Y69" i="2"/>
  <c r="X69" i="2" s="1"/>
  <c r="W69" i="2" s="1"/>
  <c r="Y72" i="2"/>
  <c r="X72" i="2" s="1"/>
  <c r="Y78" i="2"/>
  <c r="Y13" i="2"/>
  <c r="X13" i="2" s="1"/>
  <c r="Y16" i="2"/>
  <c r="X16" i="2" s="1"/>
  <c r="Y20" i="2"/>
  <c r="X20" i="2" s="1"/>
  <c r="Y23" i="2"/>
  <c r="X23" i="2" s="1"/>
  <c r="AB23" i="2" s="1"/>
  <c r="AC23" i="2" s="1"/>
  <c r="Y26" i="2"/>
  <c r="X26" i="2" s="1"/>
  <c r="AB26" i="2" s="1"/>
  <c r="AC26" i="2" s="1"/>
  <c r="Y29" i="2"/>
  <c r="X29" i="2" s="1"/>
  <c r="Y35" i="2"/>
  <c r="Y39" i="2"/>
  <c r="X39" i="2" s="1"/>
  <c r="Y43" i="2"/>
  <c r="X43" i="2" s="1"/>
  <c r="Y46" i="2"/>
  <c r="X46" i="2" s="1"/>
  <c r="Y55" i="2"/>
  <c r="Y58" i="2"/>
  <c r="Y63" i="2"/>
  <c r="Y75" i="2"/>
  <c r="X75" i="2" s="1"/>
  <c r="Y81" i="2"/>
  <c r="X81" i="2" s="1"/>
  <c r="AE23" i="2"/>
  <c r="AP12" i="2"/>
  <c r="AQ12" i="6" s="1"/>
  <c r="AP71" i="2"/>
  <c r="AN79" i="2"/>
  <c r="AF69" i="2"/>
  <c r="AE39" i="2"/>
  <c r="AG31" i="2"/>
  <c r="AF31" i="2" s="1"/>
  <c r="AE31" i="2" s="1"/>
  <c r="AG46" i="2"/>
  <c r="AF46" i="2" s="1"/>
  <c r="AJ46" i="2" s="1"/>
  <c r="AK46" i="2" s="1"/>
  <c r="AJ69" i="2"/>
  <c r="AK69" i="2"/>
  <c r="AG21" i="2"/>
  <c r="AF21" i="2" s="1"/>
  <c r="AH21" i="2" s="1"/>
  <c r="AE26" i="2"/>
  <c r="AM74" i="2"/>
  <c r="AO77" i="2"/>
  <c r="AN77" i="2" s="1"/>
  <c r="AR77" i="2" s="1"/>
  <c r="AS77" i="2" s="1"/>
  <c r="AE16" i="2"/>
  <c r="AE49" i="2"/>
  <c r="AG44" i="2"/>
  <c r="AF44" i="2" s="1"/>
  <c r="AH44" i="2" s="1"/>
  <c r="AG17" i="2"/>
  <c r="AF17" i="2" s="1"/>
  <c r="AJ17" i="2" s="1"/>
  <c r="AK17" i="2" s="1"/>
  <c r="AG41" i="2"/>
  <c r="AF41" i="2" s="1"/>
  <c r="AJ41" i="2" s="1"/>
  <c r="AK41" i="2" s="1"/>
  <c r="AG76" i="2"/>
  <c r="AF76" i="2" s="1"/>
  <c r="AH76" i="2" s="1"/>
  <c r="AE75" i="2"/>
  <c r="AE29" i="2"/>
  <c r="AF58" i="2"/>
  <c r="AF63" i="2"/>
  <c r="AF75" i="2"/>
  <c r="AF78" i="2"/>
  <c r="AF81" i="2"/>
  <c r="AH29" i="2"/>
  <c r="AE55" i="2"/>
  <c r="AG58" i="2"/>
  <c r="AG63" i="2"/>
  <c r="AG75" i="2"/>
  <c r="AG78" i="2"/>
  <c r="AG81" i="2"/>
  <c r="AE58" i="2"/>
  <c r="AE81" i="2"/>
  <c r="AG55" i="2"/>
  <c r="AH58" i="2"/>
  <c r="AH63" i="2"/>
  <c r="AH75" i="2"/>
  <c r="AH78" i="2"/>
  <c r="AH81" i="2"/>
  <c r="AE78" i="2"/>
  <c r="AH39" i="2"/>
  <c r="AH55" i="2"/>
  <c r="AG66" i="2"/>
  <c r="AF66" i="2" s="1"/>
  <c r="AJ58" i="2"/>
  <c r="AJ63" i="2"/>
  <c r="AJ75" i="2"/>
  <c r="AJ78" i="2"/>
  <c r="AJ81" i="2"/>
  <c r="AE63" i="2"/>
  <c r="AK55" i="2"/>
  <c r="AG72" i="2"/>
  <c r="AF72" i="2" s="1"/>
  <c r="AJ72" i="2" s="1"/>
  <c r="AK72" i="2" s="1"/>
  <c r="AG52" i="2"/>
  <c r="AH23" i="2"/>
  <c r="AH33" i="2"/>
  <c r="AH54" i="2"/>
  <c r="AH57" i="2"/>
  <c r="AH14" i="2"/>
  <c r="AH24" i="2"/>
  <c r="AH27" i="2"/>
  <c r="AH37" i="2"/>
  <c r="AH47" i="2"/>
  <c r="AH59" i="2"/>
  <c r="AH67" i="2"/>
  <c r="AH70" i="2"/>
  <c r="AH73" i="2"/>
  <c r="AH79" i="2"/>
  <c r="AH82" i="2"/>
  <c r="AH15" i="2"/>
  <c r="AH12" i="2"/>
  <c r="AI12" i="6" s="1"/>
  <c r="AF13" i="2"/>
  <c r="AJ14" i="2"/>
  <c r="AF16" i="2"/>
  <c r="AF23" i="2"/>
  <c r="AJ24" i="2"/>
  <c r="AF26" i="2"/>
  <c r="AJ27" i="2"/>
  <c r="AF29" i="2"/>
  <c r="AJ37" i="2"/>
  <c r="AF39" i="2"/>
  <c r="AJ47" i="2"/>
  <c r="AF49" i="2"/>
  <c r="AF55" i="2"/>
  <c r="AJ59" i="2"/>
  <c r="AJ67" i="2"/>
  <c r="AJ70" i="2"/>
  <c r="AJ73" i="2"/>
  <c r="AJ79" i="2"/>
  <c r="AJ82" i="2"/>
  <c r="AG13" i="2"/>
  <c r="AK14" i="2"/>
  <c r="AG16" i="2"/>
  <c r="AG20" i="2"/>
  <c r="AF20" i="2" s="1"/>
  <c r="AG23" i="2"/>
  <c r="AK24" i="2"/>
  <c r="AG26" i="2"/>
  <c r="AK27" i="2"/>
  <c r="AG29" i="2"/>
  <c r="AG35" i="2"/>
  <c r="AK37" i="2"/>
  <c r="AG39" i="2"/>
  <c r="AG43" i="2"/>
  <c r="AF43" i="2" s="1"/>
  <c r="AK47" i="2"/>
  <c r="AK59" i="2"/>
  <c r="AK67" i="2"/>
  <c r="AK70" i="2"/>
  <c r="AK73" i="2"/>
  <c r="AK79" i="2"/>
  <c r="AK82" i="2"/>
  <c r="AE15" i="2"/>
  <c r="AE25" i="2"/>
  <c r="AE28" i="2"/>
  <c r="AE65" i="2"/>
  <c r="AE68" i="2"/>
  <c r="AE74" i="2"/>
  <c r="AE80" i="2"/>
  <c r="AE83" i="2"/>
  <c r="AE33" i="2"/>
  <c r="AE48" i="2"/>
  <c r="AE71" i="2"/>
  <c r="AF12" i="2"/>
  <c r="AG12" i="6" s="1"/>
  <c r="AJ13" i="2"/>
  <c r="AF15" i="2"/>
  <c r="AJ16" i="2"/>
  <c r="AJ23" i="2"/>
  <c r="AF25" i="2"/>
  <c r="AJ26" i="2"/>
  <c r="AF28" i="2"/>
  <c r="AJ29" i="2"/>
  <c r="AF33" i="2"/>
  <c r="AJ39" i="2"/>
  <c r="AF48" i="2"/>
  <c r="AJ49" i="2"/>
  <c r="AK14" i="3" s="1"/>
  <c r="AF54" i="2"/>
  <c r="AF57" i="2"/>
  <c r="AF65" i="2"/>
  <c r="AF68" i="2"/>
  <c r="AF71" i="2"/>
  <c r="AF74" i="2"/>
  <c r="AF80" i="2"/>
  <c r="AF83" i="2"/>
  <c r="AE12" i="2"/>
  <c r="AF12" i="6" s="1"/>
  <c r="AE54" i="2"/>
  <c r="AE57" i="2"/>
  <c r="AG12" i="2"/>
  <c r="AG15" i="2"/>
  <c r="AG22" i="2"/>
  <c r="AF22" i="2" s="1"/>
  <c r="AE22" i="2" s="1"/>
  <c r="AG25" i="2"/>
  <c r="AG28" i="2"/>
  <c r="AG33" i="2"/>
  <c r="AG38" i="2"/>
  <c r="AF38" i="2" s="1"/>
  <c r="AG42" i="2"/>
  <c r="AG45" i="2"/>
  <c r="AF45" i="2" s="1"/>
  <c r="AG48" i="2"/>
  <c r="AG51" i="2"/>
  <c r="AG54" i="2"/>
  <c r="AG57" i="2"/>
  <c r="AG61" i="2"/>
  <c r="AF61" i="2" s="1"/>
  <c r="AG65" i="2"/>
  <c r="AG68" i="2"/>
  <c r="AG71" i="2"/>
  <c r="AG74" i="2"/>
  <c r="AG77" i="2"/>
  <c r="AF77" i="2" s="1"/>
  <c r="AG80" i="2"/>
  <c r="AG83" i="2"/>
  <c r="AH28" i="2"/>
  <c r="AH68" i="2"/>
  <c r="AH71" i="2"/>
  <c r="AH74" i="2"/>
  <c r="AH80" i="2"/>
  <c r="AH83" i="2"/>
  <c r="AE24" i="2"/>
  <c r="AE27" i="2"/>
  <c r="AE47" i="2"/>
  <c r="AE59" i="2"/>
  <c r="AE67" i="2"/>
  <c r="AE70" i="2"/>
  <c r="AE73" i="2"/>
  <c r="AE79" i="2"/>
  <c r="AE82" i="2"/>
  <c r="AH25" i="2"/>
  <c r="AH48" i="2"/>
  <c r="AH65" i="2"/>
  <c r="AJ12" i="2"/>
  <c r="AF14" i="2"/>
  <c r="AJ15" i="2"/>
  <c r="AF24" i="2"/>
  <c r="AJ25" i="2"/>
  <c r="AF27" i="2"/>
  <c r="AJ28" i="2"/>
  <c r="AJ33" i="2"/>
  <c r="AF37" i="2"/>
  <c r="AF47" i="2"/>
  <c r="AJ48" i="2"/>
  <c r="AJ54" i="2"/>
  <c r="AJ57" i="2"/>
  <c r="AF59" i="2"/>
  <c r="AJ65" i="2"/>
  <c r="AF67" i="2"/>
  <c r="AJ68" i="2"/>
  <c r="AF70" i="2"/>
  <c r="AJ71" i="2"/>
  <c r="AF73" i="2"/>
  <c r="AJ74" i="2"/>
  <c r="AF79" i="2"/>
  <c r="AJ80" i="2"/>
  <c r="AF82" i="2"/>
  <c r="AJ83" i="2"/>
  <c r="AE14" i="2"/>
  <c r="AE37" i="2"/>
  <c r="AO17" i="2"/>
  <c r="AN17" i="2" s="1"/>
  <c r="AO41" i="2"/>
  <c r="AN41" i="2" s="1"/>
  <c r="AM41" i="2" s="1"/>
  <c r="AO53" i="2"/>
  <c r="AN53" i="2" s="1"/>
  <c r="AP53" i="2" s="1"/>
  <c r="AQ13" i="3" s="1"/>
  <c r="AO61" i="2"/>
  <c r="AN61" i="2" s="1"/>
  <c r="AR61" i="2" s="1"/>
  <c r="AS61" i="2" s="1"/>
  <c r="AO21" i="2"/>
  <c r="AN21" i="2" s="1"/>
  <c r="AP21" i="2" s="1"/>
  <c r="AO44" i="2"/>
  <c r="AN44" i="2" s="1"/>
  <c r="AP48" i="2"/>
  <c r="AR48" i="2"/>
  <c r="AS65" i="2"/>
  <c r="AO80" i="2"/>
  <c r="AS48" i="2"/>
  <c r="AP80" i="2"/>
  <c r="AP28" i="2"/>
  <c r="AS54" i="2"/>
  <c r="AM70" i="2"/>
  <c r="AM67" i="2"/>
  <c r="AP67" i="2"/>
  <c r="AP57" i="2"/>
  <c r="AP68" i="2"/>
  <c r="AO79" i="2"/>
  <c r="AM83" i="2"/>
  <c r="AM48" i="2"/>
  <c r="AP79" i="2"/>
  <c r="AR68" i="2"/>
  <c r="AR83" i="2"/>
  <c r="AS83" i="2"/>
  <c r="AP70" i="2"/>
  <c r="AM73" i="2"/>
  <c r="AM82" i="2"/>
  <c r="AM15" i="2"/>
  <c r="AM33" i="2"/>
  <c r="AM59" i="2"/>
  <c r="AM65" i="2"/>
  <c r="AP73" i="2"/>
  <c r="AN82" i="2"/>
  <c r="AP15" i="2"/>
  <c r="AP33" i="2"/>
  <c r="AO56" i="2"/>
  <c r="AN56" i="2" s="1"/>
  <c r="AM56" i="2" s="1"/>
  <c r="AP59" i="2"/>
  <c r="AN65" i="2"/>
  <c r="AM68" i="2"/>
  <c r="AM80" i="2"/>
  <c r="AO82" i="2"/>
  <c r="AP65" i="2"/>
  <c r="AN68" i="2"/>
  <c r="AN80" i="2"/>
  <c r="AP82" i="2"/>
  <c r="AM12" i="2"/>
  <c r="AM28" i="2"/>
  <c r="AM57" i="2"/>
  <c r="AR65" i="2"/>
  <c r="AM54" i="2"/>
  <c r="AS68" i="2"/>
  <c r="AR80" i="2"/>
  <c r="AN83" i="2"/>
  <c r="AW21" i="2"/>
  <c r="AV21" i="2" s="1"/>
  <c r="AU21" i="2" s="1"/>
  <c r="AW50" i="2"/>
  <c r="AV50" i="2" s="1"/>
  <c r="AU50" i="2" s="1"/>
  <c r="AW76" i="2"/>
  <c r="AV76" i="2" s="1"/>
  <c r="AU76" i="2" s="1"/>
  <c r="AO45" i="2"/>
  <c r="AN45" i="2" s="1"/>
  <c r="AR45" i="2" s="1"/>
  <c r="AS45" i="2" s="1"/>
  <c r="O8" i="5" s="1"/>
  <c r="AP54" i="2"/>
  <c r="AR57" i="2"/>
  <c r="AS71" i="2"/>
  <c r="AM79" i="2"/>
  <c r="AP83" i="2"/>
  <c r="AS57" i="2"/>
  <c r="AO31" i="2"/>
  <c r="AN31" i="2" s="1"/>
  <c r="AO50" i="2"/>
  <c r="AN50" i="2" s="1"/>
  <c r="AR54" i="2"/>
  <c r="AM24" i="2"/>
  <c r="AM16" i="2"/>
  <c r="AM23" i="2"/>
  <c r="AM55" i="2"/>
  <c r="AP47" i="2"/>
  <c r="AM13" i="2"/>
  <c r="AM26" i="2"/>
  <c r="AM49" i="2"/>
  <c r="AM14" i="3" s="1"/>
  <c r="AM63" i="2"/>
  <c r="AM69" i="2"/>
  <c r="AM75" i="2"/>
  <c r="AM81" i="2"/>
  <c r="AN13" i="2"/>
  <c r="AR14" i="2"/>
  <c r="AN16" i="2"/>
  <c r="AN23" i="2"/>
  <c r="AR24" i="2"/>
  <c r="AN26" i="2"/>
  <c r="AR27" i="2"/>
  <c r="AN29" i="2"/>
  <c r="AR37" i="2"/>
  <c r="AN39" i="2"/>
  <c r="AR47" i="2"/>
  <c r="AN49" i="2"/>
  <c r="AO14" i="3" s="1"/>
  <c r="AN55" i="2"/>
  <c r="AN58" i="2"/>
  <c r="AR59" i="2"/>
  <c r="AN63" i="2"/>
  <c r="AR67" i="2"/>
  <c r="AN69" i="2"/>
  <c r="AR70" i="2"/>
  <c r="AR73" i="2"/>
  <c r="AN75" i="2"/>
  <c r="AN78" i="2"/>
  <c r="AR79" i="2"/>
  <c r="AN81" i="2"/>
  <c r="AR82" i="2"/>
  <c r="AP27" i="2"/>
  <c r="AM29" i="2"/>
  <c r="AM39" i="2"/>
  <c r="AM58" i="2"/>
  <c r="AM78" i="2"/>
  <c r="AO13" i="2"/>
  <c r="AS14" i="2"/>
  <c r="AO16" i="2"/>
  <c r="AO20" i="2"/>
  <c r="AN20" i="2" s="1"/>
  <c r="AO23" i="2"/>
  <c r="AS24" i="2"/>
  <c r="AO26" i="2"/>
  <c r="AS27" i="2"/>
  <c r="AO29" i="2"/>
  <c r="AO35" i="2"/>
  <c r="AS37" i="2"/>
  <c r="AO39" i="2"/>
  <c r="AO43" i="2"/>
  <c r="AN43" i="2" s="1"/>
  <c r="AO46" i="2"/>
  <c r="AN46" i="2" s="1"/>
  <c r="AM46" i="2" s="1"/>
  <c r="AS47" i="2"/>
  <c r="AO49" i="2"/>
  <c r="AO52" i="2"/>
  <c r="AN52" i="2" s="1"/>
  <c r="AO55" i="2"/>
  <c r="AO58" i="2"/>
  <c r="AS59" i="2"/>
  <c r="AO63" i="2"/>
  <c r="AO66" i="2"/>
  <c r="AS67" i="2"/>
  <c r="AO69" i="2"/>
  <c r="AS70" i="2"/>
  <c r="AO72" i="2"/>
  <c r="AN72" i="2" s="1"/>
  <c r="AM72" i="2" s="1"/>
  <c r="AS73" i="2"/>
  <c r="AO75" i="2"/>
  <c r="AO78" i="2"/>
  <c r="AO81" i="2"/>
  <c r="AP14" i="2"/>
  <c r="AP24" i="2"/>
  <c r="AP37" i="2"/>
  <c r="AP13" i="2"/>
  <c r="AP16" i="2"/>
  <c r="AP23" i="2"/>
  <c r="AP26" i="2"/>
  <c r="AP29" i="2"/>
  <c r="AP39" i="2"/>
  <c r="AP49" i="2"/>
  <c r="AQ14" i="3" s="1"/>
  <c r="AP55" i="2"/>
  <c r="AP58" i="2"/>
  <c r="AP63" i="2"/>
  <c r="AP69" i="2"/>
  <c r="AP75" i="2"/>
  <c r="AP78" i="2"/>
  <c r="AP81" i="2"/>
  <c r="AM27" i="2"/>
  <c r="AN12" i="2"/>
  <c r="AR13" i="2"/>
  <c r="AN15" i="2"/>
  <c r="AR16" i="2"/>
  <c r="AR23" i="2"/>
  <c r="AN25" i="2"/>
  <c r="AR26" i="2"/>
  <c r="AN28" i="2"/>
  <c r="AR29" i="2"/>
  <c r="AN33" i="2"/>
  <c r="AR39" i="2"/>
  <c r="AN48" i="2"/>
  <c r="AR49" i="2"/>
  <c r="AS14" i="3" s="1"/>
  <c r="AN54" i="2"/>
  <c r="AR55" i="2"/>
  <c r="AN57" i="2"/>
  <c r="AR58" i="2"/>
  <c r="AR63" i="2"/>
  <c r="AR69" i="2"/>
  <c r="AR75" i="2"/>
  <c r="AR78" i="2"/>
  <c r="AR81" i="2"/>
  <c r="AM37" i="2"/>
  <c r="AO12" i="2"/>
  <c r="AP12" i="6" s="1"/>
  <c r="AO15" i="2"/>
  <c r="AO22" i="2"/>
  <c r="AN22" i="2" s="1"/>
  <c r="AO25" i="2"/>
  <c r="AO28" i="2"/>
  <c r="AO33" i="2"/>
  <c r="AO38" i="2"/>
  <c r="AN38" i="2" s="1"/>
  <c r="AO42" i="2"/>
  <c r="AN42" i="2" s="1"/>
  <c r="AM14" i="2"/>
  <c r="AR12" i="2"/>
  <c r="AN14" i="2"/>
  <c r="AR15" i="2"/>
  <c r="AN24" i="2"/>
  <c r="AR25" i="2"/>
  <c r="AN27" i="2"/>
  <c r="AR28" i="2"/>
  <c r="AR33" i="2"/>
  <c r="AN37" i="2"/>
  <c r="AN47" i="2"/>
  <c r="AN59" i="2"/>
  <c r="AN67" i="2"/>
  <c r="AN70" i="2"/>
  <c r="AN73" i="2"/>
  <c r="AM47" i="2"/>
  <c r="AW46" i="2"/>
  <c r="AV46" i="2" s="1"/>
  <c r="AU46" i="2" s="1"/>
  <c r="AW52" i="2"/>
  <c r="AV52" i="2" s="1"/>
  <c r="AU52" i="2" s="1"/>
  <c r="AW66" i="2"/>
  <c r="AV66" i="2" s="1"/>
  <c r="AU66" i="2" s="1"/>
  <c r="AW72" i="2"/>
  <c r="AW42" i="2"/>
  <c r="AV42" i="2" s="1"/>
  <c r="AU42" i="2" s="1"/>
  <c r="AW17" i="2"/>
  <c r="AV17" i="2" s="1"/>
  <c r="AU17" i="2" s="1"/>
  <c r="AW31" i="2"/>
  <c r="AV31" i="2" s="1"/>
  <c r="AU31" i="2" s="1"/>
  <c r="AW41" i="2"/>
  <c r="AV41" i="2" s="1"/>
  <c r="AU41" i="2" s="1"/>
  <c r="AW53" i="2"/>
  <c r="AV53" i="2" s="1"/>
  <c r="AZ53" i="2" s="1"/>
  <c r="BA53" i="2" s="1"/>
  <c r="AW12" i="2"/>
  <c r="AX12" i="6" s="1"/>
  <c r="AW25" i="2"/>
  <c r="AW61" i="2"/>
  <c r="AW54" i="2"/>
  <c r="AW20" i="2"/>
  <c r="AV20" i="2" s="1"/>
  <c r="AX20" i="2" s="1"/>
  <c r="AW35" i="2"/>
  <c r="AW68" i="2"/>
  <c r="AW80" i="2"/>
  <c r="AW22" i="2"/>
  <c r="AV22" i="2" s="1"/>
  <c r="AU22" i="2" s="1"/>
  <c r="AW38" i="2"/>
  <c r="AV38" i="2" s="1"/>
  <c r="AX38" i="2" s="1"/>
  <c r="AW51" i="2"/>
  <c r="AV51" i="2" s="1"/>
  <c r="AU51" i="2" s="1"/>
  <c r="AW77" i="2"/>
  <c r="AV77" i="2" s="1"/>
  <c r="AU77" i="2" s="1"/>
  <c r="AW13" i="2"/>
  <c r="AW26" i="2"/>
  <c r="AW43" i="2"/>
  <c r="AV43" i="2" s="1"/>
  <c r="AU43" i="2" s="1"/>
  <c r="AW55" i="2"/>
  <c r="AW69" i="2"/>
  <c r="AW81" i="2"/>
  <c r="AX47" i="2"/>
  <c r="AX59" i="2"/>
  <c r="AX73" i="2"/>
  <c r="AX16" i="2"/>
  <c r="AX58" i="2"/>
  <c r="AW14" i="2"/>
  <c r="AW27" i="2"/>
  <c r="AW44" i="2"/>
  <c r="AV44" i="2" s="1"/>
  <c r="AU44" i="2" s="1"/>
  <c r="AW56" i="2"/>
  <c r="AV56" i="2" s="1"/>
  <c r="AU56" i="2" s="1"/>
  <c r="AW70" i="2"/>
  <c r="AW82" i="2"/>
  <c r="AX33" i="2"/>
  <c r="AX48" i="2"/>
  <c r="AX74" i="2"/>
  <c r="AX29" i="2"/>
  <c r="AW15" i="2"/>
  <c r="AW28" i="2"/>
  <c r="AW45" i="2"/>
  <c r="AV45" i="2" s="1"/>
  <c r="AZ45" i="2" s="1"/>
  <c r="BA45" i="2" s="1"/>
  <c r="P8" i="5" s="1"/>
  <c r="AW57" i="2"/>
  <c r="AW71" i="2"/>
  <c r="AW83" i="2"/>
  <c r="AX49" i="2"/>
  <c r="AX63" i="2"/>
  <c r="AX75" i="2"/>
  <c r="AW16" i="2"/>
  <c r="AW29" i="2"/>
  <c r="AW58" i="2"/>
  <c r="AX37" i="2"/>
  <c r="AW47" i="2"/>
  <c r="AW59" i="2"/>
  <c r="AW73" i="2"/>
  <c r="AX65" i="2"/>
  <c r="AW33" i="2"/>
  <c r="AW48" i="2"/>
  <c r="AW74" i="2"/>
  <c r="AX23" i="2"/>
  <c r="AX39" i="2"/>
  <c r="AX78" i="2"/>
  <c r="AW49" i="2"/>
  <c r="AW63" i="2"/>
  <c r="AX24" i="2"/>
  <c r="AX67" i="2"/>
  <c r="AX79" i="2"/>
  <c r="AZ81" i="2"/>
  <c r="AW37" i="2"/>
  <c r="AX12" i="2"/>
  <c r="AX25" i="2"/>
  <c r="AX54" i="2"/>
  <c r="AX68" i="2"/>
  <c r="AX80" i="2"/>
  <c r="AW65" i="2"/>
  <c r="AX13" i="2"/>
  <c r="AX26" i="2"/>
  <c r="AX55" i="2"/>
  <c r="AX69" i="2"/>
  <c r="AX81" i="2"/>
  <c r="AW23" i="2"/>
  <c r="AW78" i="2"/>
  <c r="AX14" i="2"/>
  <c r="AX27" i="2"/>
  <c r="AX70" i="2"/>
  <c r="AX82" i="2"/>
  <c r="AW67" i="2"/>
  <c r="AW79" i="2"/>
  <c r="AX71" i="2"/>
  <c r="AX83" i="2"/>
  <c r="AV26" i="2"/>
  <c r="BA26" i="2"/>
  <c r="AZ80" i="2"/>
  <c r="AV81" i="2"/>
  <c r="BA69" i="2"/>
  <c r="AU25" i="2"/>
  <c r="BA13" i="2"/>
  <c r="AZ33" i="2"/>
  <c r="BA33" i="2"/>
  <c r="BA23" i="2"/>
  <c r="AZ29" i="2"/>
  <c r="AV37" i="2"/>
  <c r="AZ58" i="2"/>
  <c r="AZ69" i="2"/>
  <c r="AU12" i="2"/>
  <c r="AV23" i="2"/>
  <c r="AV59" i="2"/>
  <c r="AV12" i="2"/>
  <c r="AZ55" i="2"/>
  <c r="AV25" i="2"/>
  <c r="AZ28" i="2"/>
  <c r="AZ57" i="2"/>
  <c r="AV69" i="2"/>
  <c r="AV73" i="2"/>
  <c r="BA55" i="2"/>
  <c r="AU37" i="2"/>
  <c r="BA73" i="2"/>
  <c r="AZ39" i="2"/>
  <c r="AU68" i="2"/>
  <c r="AZ26" i="2"/>
  <c r="BA39" i="2"/>
  <c r="AZ48" i="2"/>
  <c r="AZ59" i="2"/>
  <c r="AV68" i="2"/>
  <c r="AU74" i="2"/>
  <c r="AZ15" i="2"/>
  <c r="AZ24" i="2"/>
  <c r="BA48" i="2"/>
  <c r="AZ71" i="2"/>
  <c r="AV13" i="2"/>
  <c r="AZ16" i="2"/>
  <c r="BA24" i="2"/>
  <c r="AZ37" i="2"/>
  <c r="AU54" i="2"/>
  <c r="AZ78" i="2"/>
  <c r="AV54" i="2"/>
  <c r="BA65" i="2"/>
  <c r="AZ74" i="2"/>
  <c r="BA78" i="2"/>
  <c r="BA74" i="2"/>
  <c r="AZ13" i="2"/>
  <c r="AU23" i="2"/>
  <c r="AV47" i="2"/>
  <c r="AU73" i="2"/>
  <c r="BA81" i="2"/>
  <c r="AU39" i="2"/>
  <c r="AV55" i="2"/>
  <c r="AU80" i="2"/>
  <c r="AV39" i="2"/>
  <c r="AZ47" i="2"/>
  <c r="AV80" i="2"/>
  <c r="BA67" i="2"/>
  <c r="AU49" i="2"/>
  <c r="AU14" i="2"/>
  <c r="BA15" i="2"/>
  <c r="AU70" i="2"/>
  <c r="AV75" i="2"/>
  <c r="AV27" i="2"/>
  <c r="BA59" i="2"/>
  <c r="BA12" i="2"/>
  <c r="BB12" i="6" s="1"/>
  <c r="AV16" i="2"/>
  <c r="AU24" i="2"/>
  <c r="BA25" i="2"/>
  <c r="AV29" i="2"/>
  <c r="AZ49" i="2"/>
  <c r="BA14" i="3" s="1"/>
  <c r="BA54" i="2"/>
  <c r="AV58" i="2"/>
  <c r="AZ63" i="2"/>
  <c r="AU67" i="2"/>
  <c r="BA68" i="2"/>
  <c r="AZ75" i="2"/>
  <c r="AU79" i="2"/>
  <c r="AU27" i="2"/>
  <c r="BA28" i="2"/>
  <c r="AV49" i="2"/>
  <c r="BA57" i="2"/>
  <c r="AV63" i="2"/>
  <c r="AV14" i="2"/>
  <c r="AV70" i="2"/>
  <c r="AU29" i="2"/>
  <c r="AU58" i="2"/>
  <c r="AZ14" i="2"/>
  <c r="AV24" i="2"/>
  <c r="AZ27" i="2"/>
  <c r="AU33" i="2"/>
  <c r="AU48" i="2"/>
  <c r="BA63" i="2"/>
  <c r="AV67" i="2"/>
  <c r="AZ70" i="2"/>
  <c r="BA75" i="2"/>
  <c r="AV79" i="2"/>
  <c r="AZ82" i="2"/>
  <c r="AU75" i="2"/>
  <c r="AU82" i="2"/>
  <c r="AU65" i="2"/>
  <c r="AV82" i="2"/>
  <c r="AU16" i="2"/>
  <c r="BA47" i="2"/>
  <c r="AV65" i="2"/>
  <c r="AU15" i="2"/>
  <c r="AU28" i="2"/>
  <c r="AU57" i="2"/>
  <c r="AU71" i="2"/>
  <c r="AZ79" i="2"/>
  <c r="AU83" i="2"/>
  <c r="AV15" i="2"/>
  <c r="AV28" i="2"/>
  <c r="AV57" i="2"/>
  <c r="AV71" i="2"/>
  <c r="AU78" i="2"/>
  <c r="AV83" i="2"/>
  <c r="AZ83" i="2"/>
  <c r="Q61" i="2"/>
  <c r="Q74" i="2"/>
  <c r="Q55" i="2"/>
  <c r="Q63" i="2"/>
  <c r="Q75" i="2"/>
  <c r="Q81" i="2"/>
  <c r="P76" i="2"/>
  <c r="R76" i="2" s="1"/>
  <c r="Q78" i="2"/>
  <c r="Q67" i="2"/>
  <c r="Q65" i="2"/>
  <c r="P16" i="2"/>
  <c r="R16" i="2" s="1"/>
  <c r="Q23" i="2"/>
  <c r="Q58" i="2"/>
  <c r="Q72" i="2"/>
  <c r="Q53" i="2"/>
  <c r="P53" i="2"/>
  <c r="R53" i="2" s="1"/>
  <c r="P79" i="2"/>
  <c r="R79" i="2" s="1"/>
  <c r="H17" i="2"/>
  <c r="J17" i="2" s="1"/>
  <c r="I41" i="2"/>
  <c r="I59" i="2"/>
  <c r="I79" i="2"/>
  <c r="P74" i="2"/>
  <c r="R74" i="2" s="1"/>
  <c r="Q27" i="2"/>
  <c r="Q37" i="2"/>
  <c r="I12" i="2"/>
  <c r="J12" i="6" s="1"/>
  <c r="I25" i="2"/>
  <c r="H33" i="2"/>
  <c r="J33" i="2" s="1"/>
  <c r="I48" i="2"/>
  <c r="I54" i="2"/>
  <c r="I68" i="2"/>
  <c r="H74" i="2"/>
  <c r="J74" i="2" s="1"/>
  <c r="P42" i="2"/>
  <c r="R42" i="2" s="1"/>
  <c r="Q48" i="2"/>
  <c r="P59" i="2"/>
  <c r="R59" i="2" s="1"/>
  <c r="P73" i="2"/>
  <c r="R73" i="2" s="1"/>
  <c r="Q79" i="2"/>
  <c r="Q35" i="2"/>
  <c r="Q34" i="2" s="1"/>
  <c r="Q43" i="2"/>
  <c r="P68" i="2"/>
  <c r="R68" i="2" s="1"/>
  <c r="P80" i="2"/>
  <c r="R80" i="2" s="1"/>
  <c r="H22" i="2"/>
  <c r="J22" i="2" s="1"/>
  <c r="H45" i="2"/>
  <c r="J45" i="2" s="1"/>
  <c r="H65" i="2"/>
  <c r="J65" i="2" s="1"/>
  <c r="I83" i="2"/>
  <c r="Q22" i="2"/>
  <c r="P28" i="2"/>
  <c r="R28" i="2" s="1"/>
  <c r="Q56" i="2"/>
  <c r="P70" i="2"/>
  <c r="R70" i="2" s="1"/>
  <c r="Q71" i="2"/>
  <c r="Q83" i="2"/>
  <c r="Q17" i="2"/>
  <c r="P58" i="2"/>
  <c r="R58" i="2" s="1"/>
  <c r="Q66" i="2"/>
  <c r="Q16" i="2"/>
  <c r="Q29" i="2"/>
  <c r="Q46" i="2"/>
  <c r="Q24" i="2"/>
  <c r="Q41" i="2"/>
  <c r="Q33" i="2"/>
  <c r="P48" i="2"/>
  <c r="R48" i="2" s="1"/>
  <c r="Q38" i="2"/>
  <c r="Q77" i="2"/>
  <c r="P24" i="2"/>
  <c r="R24" i="2" s="1"/>
  <c r="P61" i="2"/>
  <c r="R61" i="2" s="1"/>
  <c r="P67" i="2"/>
  <c r="R67" i="2" s="1"/>
  <c r="Q54" i="2"/>
  <c r="Q13" i="2"/>
  <c r="P31" i="2"/>
  <c r="R31" i="2" s="1"/>
  <c r="Q39" i="2"/>
  <c r="P45" i="2"/>
  <c r="R45" i="2" s="1"/>
  <c r="P50" i="2"/>
  <c r="R50" i="2" s="1"/>
  <c r="P29" i="2"/>
  <c r="R29" i="2" s="1"/>
  <c r="P72" i="2"/>
  <c r="R72" i="2" s="1"/>
  <c r="P14" i="2"/>
  <c r="R14" i="2" s="1"/>
  <c r="Q20" i="2"/>
  <c r="Q25" i="2"/>
  <c r="P46" i="2"/>
  <c r="R46" i="2" s="1"/>
  <c r="Q51" i="2"/>
  <c r="P44" i="2"/>
  <c r="R44" i="2" s="1"/>
  <c r="Q82" i="2"/>
  <c r="P33" i="2"/>
  <c r="R33" i="2" s="1"/>
  <c r="Q12" i="2"/>
  <c r="R12" i="6" s="1"/>
  <c r="Q49" i="2"/>
  <c r="P41" i="2"/>
  <c r="R41" i="2" s="1"/>
  <c r="Q15" i="2"/>
  <c r="Q21" i="2"/>
  <c r="Q26" i="2"/>
  <c r="P47" i="2"/>
  <c r="R47" i="2" s="1"/>
  <c r="P52" i="2"/>
  <c r="R52" i="2" s="1"/>
  <c r="Q57" i="2"/>
  <c r="Q69" i="2"/>
  <c r="P69" i="2"/>
  <c r="R69" i="2" s="1"/>
  <c r="P15" i="2"/>
  <c r="R15" i="2" s="1"/>
  <c r="P57" i="2"/>
  <c r="R57" i="2" s="1"/>
  <c r="P23" i="2"/>
  <c r="R23" i="2" s="1"/>
  <c r="Q28" i="2"/>
  <c r="P17" i="2"/>
  <c r="R17" i="2" s="1"/>
  <c r="P12" i="2"/>
  <c r="Q12" i="6" s="1"/>
  <c r="P25" i="2"/>
  <c r="R25" i="2" s="1"/>
  <c r="Q59" i="2"/>
  <c r="P35" i="2"/>
  <c r="P49" i="2"/>
  <c r="Q68" i="2"/>
  <c r="P27" i="2"/>
  <c r="R27" i="2" s="1"/>
  <c r="P56" i="2"/>
  <c r="R56" i="2" s="1"/>
  <c r="P82" i="2"/>
  <c r="R82" i="2" s="1"/>
  <c r="Q14" i="2"/>
  <c r="P22" i="2"/>
  <c r="R22" i="2" s="1"/>
  <c r="P38" i="2"/>
  <c r="R38" i="2" s="1"/>
  <c r="Q44" i="2"/>
  <c r="P51" i="2"/>
  <c r="R51" i="2" s="1"/>
  <c r="P65" i="2"/>
  <c r="R65" i="2" s="1"/>
  <c r="Q70" i="2"/>
  <c r="P77" i="2"/>
  <c r="R77" i="2" s="1"/>
  <c r="P13" i="2"/>
  <c r="R13" i="2" s="1"/>
  <c r="P26" i="2"/>
  <c r="R26" i="2" s="1"/>
  <c r="P81" i="2"/>
  <c r="R81" i="2" s="1"/>
  <c r="P37" i="2"/>
  <c r="R37" i="2" s="1"/>
  <c r="P71" i="2"/>
  <c r="R71" i="2" s="1"/>
  <c r="P39" i="2"/>
  <c r="R39" i="2" s="1"/>
  <c r="P66" i="2"/>
  <c r="R66" i="2" s="1"/>
  <c r="P78" i="2"/>
  <c r="R78" i="2" s="1"/>
  <c r="Q52" i="2"/>
  <c r="Q47" i="2"/>
  <c r="Q73" i="2"/>
  <c r="Q42" i="2"/>
  <c r="P63" i="2"/>
  <c r="P75" i="2"/>
  <c r="R75" i="2" s="1"/>
  <c r="Q80" i="2"/>
  <c r="P55" i="2"/>
  <c r="R55" i="2" s="1"/>
  <c r="P21" i="2"/>
  <c r="R21" i="2" s="1"/>
  <c r="Q31" i="2"/>
  <c r="P54" i="2"/>
  <c r="R54" i="2" s="1"/>
  <c r="P20" i="2"/>
  <c r="R20" i="2" s="1"/>
  <c r="Q76" i="2"/>
  <c r="P83" i="2"/>
  <c r="R83" i="2" s="1"/>
  <c r="P43" i="2"/>
  <c r="R43" i="2" s="1"/>
  <c r="Q50" i="2"/>
  <c r="Q45" i="2"/>
  <c r="I13" i="2"/>
  <c r="I20" i="2"/>
  <c r="I26" i="2"/>
  <c r="I35" i="2"/>
  <c r="I34" i="2" s="1"/>
  <c r="I43" i="2"/>
  <c r="I49" i="2"/>
  <c r="I55" i="2"/>
  <c r="I63" i="2"/>
  <c r="I69" i="2"/>
  <c r="I75" i="2"/>
  <c r="I57" i="2"/>
  <c r="I65" i="2"/>
  <c r="I77" i="2"/>
  <c r="I16" i="2"/>
  <c r="I23" i="2"/>
  <c r="I29" i="2"/>
  <c r="I39" i="2"/>
  <c r="I46" i="2"/>
  <c r="I52" i="2"/>
  <c r="I58" i="2"/>
  <c r="I66" i="2"/>
  <c r="I72" i="2"/>
  <c r="I78" i="2"/>
  <c r="I17" i="2"/>
  <c r="H24" i="2"/>
  <c r="J24" i="2" s="1"/>
  <c r="H31" i="2"/>
  <c r="J31" i="2" s="1"/>
  <c r="H41" i="2"/>
  <c r="J41" i="2" s="1"/>
  <c r="I47" i="2"/>
  <c r="I53" i="2"/>
  <c r="H59" i="2"/>
  <c r="J59" i="2" s="1"/>
  <c r="I67" i="2"/>
  <c r="H73" i="2"/>
  <c r="J73" i="2" s="1"/>
  <c r="H79" i="2"/>
  <c r="J79" i="2" s="1"/>
  <c r="H83" i="2"/>
  <c r="J83" i="2" s="1"/>
  <c r="H50" i="2"/>
  <c r="J50" i="2" s="1"/>
  <c r="H70" i="2"/>
  <c r="J70" i="2" s="1"/>
  <c r="I76" i="2"/>
  <c r="I82" i="2"/>
  <c r="H47" i="2"/>
  <c r="J47" i="2" s="1"/>
  <c r="I61" i="2"/>
  <c r="I24" i="2"/>
  <c r="H67" i="2"/>
  <c r="J67" i="2" s="1"/>
  <c r="H68" i="2"/>
  <c r="J68" i="2" s="1"/>
  <c r="I80" i="2"/>
  <c r="H53" i="2"/>
  <c r="J53" i="2" s="1"/>
  <c r="I42" i="2"/>
  <c r="I37" i="2"/>
  <c r="I31" i="2"/>
  <c r="I73" i="2"/>
  <c r="I14" i="2"/>
  <c r="I44" i="2"/>
  <c r="I56" i="2"/>
  <c r="I15" i="2"/>
  <c r="I28" i="2"/>
  <c r="I45" i="2"/>
  <c r="H48" i="2"/>
  <c r="J48" i="2" s="1"/>
  <c r="I21" i="2"/>
  <c r="I50" i="2"/>
  <c r="I22" i="2"/>
  <c r="H57" i="2"/>
  <c r="J57" i="2" s="1"/>
  <c r="H77" i="2"/>
  <c r="J77" i="2" s="1"/>
  <c r="H54" i="2"/>
  <c r="J54" i="2" s="1"/>
  <c r="H12" i="2"/>
  <c r="I12" i="6" s="1"/>
  <c r="I33" i="2"/>
  <c r="I74" i="2"/>
  <c r="H25" i="2"/>
  <c r="J25" i="2" s="1"/>
  <c r="H27" i="2"/>
  <c r="J27" i="2" s="1"/>
  <c r="I70" i="2"/>
  <c r="I38" i="2"/>
  <c r="I51" i="2"/>
  <c r="I71" i="2"/>
  <c r="H13" i="2"/>
  <c r="J13" i="2" s="1"/>
  <c r="H23" i="2"/>
  <c r="J23" i="2" s="1"/>
  <c r="H35" i="2"/>
  <c r="H46" i="2"/>
  <c r="J46" i="2" s="1"/>
  <c r="H55" i="2"/>
  <c r="J55" i="2" s="1"/>
  <c r="H66" i="2"/>
  <c r="J66" i="2" s="1"/>
  <c r="H75" i="2"/>
  <c r="J75" i="2" s="1"/>
  <c r="I27" i="2"/>
  <c r="H14" i="2"/>
  <c r="J14" i="2" s="1"/>
  <c r="H28" i="2"/>
  <c r="J28" i="2" s="1"/>
  <c r="H37" i="2"/>
  <c r="J37" i="2" s="1"/>
  <c r="H42" i="2"/>
  <c r="J42" i="2" s="1"/>
  <c r="H51" i="2"/>
  <c r="J51" i="2" s="1"/>
  <c r="H56" i="2"/>
  <c r="J56" i="2" s="1"/>
  <c r="H61" i="2"/>
  <c r="J61" i="2" s="1"/>
  <c r="H71" i="2"/>
  <c r="J71" i="2" s="1"/>
  <c r="H76" i="2"/>
  <c r="J76" i="2" s="1"/>
  <c r="H80" i="2"/>
  <c r="J80" i="2" s="1"/>
  <c r="H20" i="2"/>
  <c r="J20" i="2" s="1"/>
  <c r="H29" i="2"/>
  <c r="J29" i="2" s="1"/>
  <c r="H43" i="2"/>
  <c r="J43" i="2" s="1"/>
  <c r="H52" i="2"/>
  <c r="J52" i="2" s="1"/>
  <c r="H63" i="2"/>
  <c r="J63" i="2" s="1"/>
  <c r="H72" i="2"/>
  <c r="J72" i="2" s="1"/>
  <c r="H15" i="2"/>
  <c r="J15" i="2" s="1"/>
  <c r="H21" i="2"/>
  <c r="J21" i="2" s="1"/>
  <c r="H38" i="2"/>
  <c r="J38" i="2" s="1"/>
  <c r="H44" i="2"/>
  <c r="J44" i="2" s="1"/>
  <c r="H82" i="2"/>
  <c r="J82" i="2" s="1"/>
  <c r="H16" i="2"/>
  <c r="J16" i="2" s="1"/>
  <c r="H26" i="2"/>
  <c r="J26" i="2" s="1"/>
  <c r="H39" i="2"/>
  <c r="J39" i="2" s="1"/>
  <c r="H49" i="2"/>
  <c r="J49" i="2" s="1"/>
  <c r="H58" i="2"/>
  <c r="J58" i="2" s="1"/>
  <c r="H69" i="2"/>
  <c r="J69" i="2" s="1"/>
  <c r="H78" i="2"/>
  <c r="J78" i="2" s="1"/>
  <c r="X35" i="2" l="1"/>
  <c r="X34" i="2" s="1"/>
  <c r="Y34" i="2"/>
  <c r="AV35" i="2"/>
  <c r="AW34" i="2"/>
  <c r="J35" i="2"/>
  <c r="J34" i="2" s="1"/>
  <c r="H34" i="2"/>
  <c r="R35" i="2"/>
  <c r="R34" i="2" s="1"/>
  <c r="P34" i="2"/>
  <c r="AF35" i="2"/>
  <c r="AF34" i="2" s="1"/>
  <c r="AG34" i="2"/>
  <c r="AN35" i="2"/>
  <c r="AN34" i="2" s="1"/>
  <c r="AO34" i="2"/>
  <c r="S62" i="2"/>
  <c r="R62" i="2"/>
  <c r="BP62" i="2"/>
  <c r="BQ62" i="2" s="1"/>
  <c r="J62" i="2"/>
  <c r="T62" i="2"/>
  <c r="T18" i="2"/>
  <c r="L18" i="2"/>
  <c r="BO79" i="2"/>
  <c r="N4" i="5"/>
  <c r="BN59" i="2"/>
  <c r="K18" i="2"/>
  <c r="BP18" i="2"/>
  <c r="BQ18" i="2" s="1"/>
  <c r="BO67" i="2"/>
  <c r="BO59" i="2"/>
  <c r="BQ59" i="2" s="1"/>
  <c r="BP70" i="2"/>
  <c r="BC18" i="2"/>
  <c r="BF18" i="2"/>
  <c r="W18" i="2"/>
  <c r="AB18" i="2"/>
  <c r="AC18" i="2" s="1"/>
  <c r="Z18" i="2"/>
  <c r="BN18" i="2"/>
  <c r="AV18" i="2"/>
  <c r="AZ18" i="2" s="1"/>
  <c r="BA18" i="2" s="1"/>
  <c r="AN18" i="2"/>
  <c r="AR18" i="2" s="1"/>
  <c r="AS18" i="2" s="1"/>
  <c r="J18" i="2"/>
  <c r="BH18" i="2"/>
  <c r="BI18" i="2" s="1"/>
  <c r="AF18" i="2"/>
  <c r="S18" i="2"/>
  <c r="R18" i="2"/>
  <c r="AR12" i="3"/>
  <c r="AS12" i="6"/>
  <c r="AM12" i="3"/>
  <c r="AN12" i="6"/>
  <c r="AN12" i="3"/>
  <c r="AO12" i="6"/>
  <c r="AX12" i="3"/>
  <c r="AY12" i="6"/>
  <c r="AJ12" i="3"/>
  <c r="AK12" i="6"/>
  <c r="BO74" i="2"/>
  <c r="BO35" i="2"/>
  <c r="BO34" i="2" s="1"/>
  <c r="AU12" i="3"/>
  <c r="AV12" i="6"/>
  <c r="Q14" i="3"/>
  <c r="AV12" i="3"/>
  <c r="AW12" i="6"/>
  <c r="AG12" i="3"/>
  <c r="AH12" i="6"/>
  <c r="BC12" i="3"/>
  <c r="BD12" i="6"/>
  <c r="BO76" i="2"/>
  <c r="BO14" i="2"/>
  <c r="Z14" i="6"/>
  <c r="W14" i="6"/>
  <c r="AB14" i="6"/>
  <c r="AC14" i="6" s="1"/>
  <c r="J14" i="6"/>
  <c r="L14" i="6"/>
  <c r="M14" i="6" s="1"/>
  <c r="S14" i="6"/>
  <c r="U14" i="6" s="1"/>
  <c r="R14" i="6"/>
  <c r="BN14" i="6"/>
  <c r="BP14" i="6"/>
  <c r="BQ14" i="6" s="1"/>
  <c r="Z13" i="6"/>
  <c r="W13" i="6"/>
  <c r="AR13" i="6"/>
  <c r="AS13" i="6" s="1"/>
  <c r="K13" i="6"/>
  <c r="AJ13" i="6"/>
  <c r="AK13" i="6" s="1"/>
  <c r="BN13" i="6"/>
  <c r="AB13" i="6"/>
  <c r="AC13" i="6" s="1"/>
  <c r="AU13" i="6"/>
  <c r="AX13" i="6"/>
  <c r="AZ13" i="6"/>
  <c r="BA13" i="6" s="1"/>
  <c r="S13" i="6"/>
  <c r="U13" i="6" s="1"/>
  <c r="R13" i="6"/>
  <c r="AP13" i="6"/>
  <c r="AH13" i="6"/>
  <c r="L13" i="6"/>
  <c r="BD13" i="6"/>
  <c r="BP13" i="6"/>
  <c r="BQ13" i="6" s="1"/>
  <c r="J13" i="6"/>
  <c r="BO39" i="2"/>
  <c r="BO31" i="2"/>
  <c r="BB13" i="3"/>
  <c r="P3" i="5"/>
  <c r="AD13" i="3"/>
  <c r="M3" i="5"/>
  <c r="I12" i="3"/>
  <c r="BE12" i="3"/>
  <c r="BO16" i="2"/>
  <c r="BO43" i="2"/>
  <c r="BO47" i="2"/>
  <c r="BP79" i="2"/>
  <c r="BA13" i="3"/>
  <c r="AH13" i="3"/>
  <c r="BH12" i="3"/>
  <c r="BO58" i="2"/>
  <c r="BO41" i="2"/>
  <c r="BH14" i="3"/>
  <c r="AZ12" i="3"/>
  <c r="AG14" i="3"/>
  <c r="BO29" i="2"/>
  <c r="AT12" i="3"/>
  <c r="AW14" i="3"/>
  <c r="AL14" i="3"/>
  <c r="AH14" i="3"/>
  <c r="BO66" i="2"/>
  <c r="BB14" i="3"/>
  <c r="AY14" i="3"/>
  <c r="BF12" i="3"/>
  <c r="BO20" i="2"/>
  <c r="AL12" i="3"/>
  <c r="AT14" i="3"/>
  <c r="AG13" i="3"/>
  <c r="BJ12" i="3"/>
  <c r="BJ14" i="3"/>
  <c r="BP80" i="2"/>
  <c r="I14" i="3"/>
  <c r="BO46" i="2"/>
  <c r="BO52" i="2"/>
  <c r="Q12" i="3"/>
  <c r="AH12" i="3"/>
  <c r="BO72" i="2"/>
  <c r="BO23" i="2"/>
  <c r="AX14" i="3"/>
  <c r="AF14" i="3"/>
  <c r="BG14" i="3"/>
  <c r="BP54" i="2"/>
  <c r="BM12" i="3"/>
  <c r="BO50" i="2"/>
  <c r="AV14" i="3"/>
  <c r="AP13" i="3"/>
  <c r="BP37" i="2"/>
  <c r="AR14" i="3"/>
  <c r="AP14" i="3"/>
  <c r="AJ14" i="3"/>
  <c r="AU14" i="3"/>
  <c r="BD14" i="3"/>
  <c r="AN14" i="3"/>
  <c r="BP65" i="2"/>
  <c r="AZ14" i="3"/>
  <c r="BP61" i="2"/>
  <c r="BO80" i="2"/>
  <c r="AY12" i="3"/>
  <c r="BA12" i="3"/>
  <c r="BB12" i="3"/>
  <c r="BO27" i="2"/>
  <c r="BQ27" i="2" s="1"/>
  <c r="J14" i="3"/>
  <c r="H14" i="3"/>
  <c r="R49" i="2"/>
  <c r="R14" i="3" s="1"/>
  <c r="P14" i="3"/>
  <c r="I13" i="3"/>
  <c r="BO17" i="2"/>
  <c r="BE21" i="2"/>
  <c r="BD21" i="2" s="1"/>
  <c r="BN80" i="2"/>
  <c r="BI12" i="3"/>
  <c r="AO12" i="3"/>
  <c r="AW12" i="3"/>
  <c r="AF12" i="3"/>
  <c r="Q13" i="3"/>
  <c r="BD12" i="3"/>
  <c r="BP22" i="2"/>
  <c r="AI12" i="3"/>
  <c r="BO49" i="2"/>
  <c r="BM14" i="3"/>
  <c r="BP53" i="2"/>
  <c r="BO37" i="2"/>
  <c r="BG12" i="3"/>
  <c r="AS12" i="3"/>
  <c r="X49" i="2"/>
  <c r="Z49" i="2" s="1"/>
  <c r="BP15" i="2"/>
  <c r="BN47" i="2"/>
  <c r="AK12" i="3"/>
  <c r="BM13" i="3"/>
  <c r="AP12" i="3"/>
  <c r="AQ12" i="3"/>
  <c r="BN27" i="2"/>
  <c r="BP47" i="2"/>
  <c r="BP74" i="2"/>
  <c r="BD53" i="2"/>
  <c r="BF53" i="2" s="1"/>
  <c r="BG13" i="3" s="1"/>
  <c r="BO24" i="2"/>
  <c r="BO69" i="2"/>
  <c r="BO26" i="2"/>
  <c r="BN35" i="2"/>
  <c r="BN34" i="2" s="1"/>
  <c r="BP56" i="2"/>
  <c r="BQ56" i="2" s="1"/>
  <c r="BO75" i="2"/>
  <c r="J12" i="2"/>
  <c r="H12" i="3"/>
  <c r="BD41" i="2"/>
  <c r="BF41" i="2" s="1"/>
  <c r="BO77" i="2"/>
  <c r="BO63" i="2"/>
  <c r="BL13" i="3"/>
  <c r="BO71" i="2"/>
  <c r="BP14" i="2"/>
  <c r="R63" i="2"/>
  <c r="R13" i="3" s="1"/>
  <c r="P13" i="3"/>
  <c r="X63" i="2"/>
  <c r="W63" i="2" s="1"/>
  <c r="BP12" i="2"/>
  <c r="BQ12" i="6" s="1"/>
  <c r="BL12" i="3"/>
  <c r="R12" i="2"/>
  <c r="P12" i="3"/>
  <c r="BP35" i="2"/>
  <c r="BP34" i="2" s="1"/>
  <c r="J13" i="3"/>
  <c r="H13" i="3"/>
  <c r="BO13" i="2"/>
  <c r="BN24" i="2"/>
  <c r="BP17" i="2"/>
  <c r="BP24" i="2"/>
  <c r="BP67" i="2"/>
  <c r="BN73" i="2"/>
  <c r="BO78" i="2"/>
  <c r="BP50" i="2"/>
  <c r="BP41" i="2"/>
  <c r="BQ41" i="2" s="1"/>
  <c r="BP46" i="2"/>
  <c r="BO70" i="2"/>
  <c r="BP78" i="2"/>
  <c r="BP73" i="2"/>
  <c r="BQ73" i="2" s="1"/>
  <c r="BO44" i="2"/>
  <c r="BP57" i="2"/>
  <c r="BO83" i="2"/>
  <c r="BN50" i="2"/>
  <c r="BP48" i="2"/>
  <c r="BN41" i="2"/>
  <c r="BN17" i="2"/>
  <c r="BO21" i="2"/>
  <c r="BP76" i="2"/>
  <c r="BN21" i="2"/>
  <c r="BN76" i="2"/>
  <c r="BP21" i="2"/>
  <c r="BP68" i="2"/>
  <c r="BN83" i="2"/>
  <c r="BN67" i="2"/>
  <c r="BP51" i="2"/>
  <c r="BP75" i="2"/>
  <c r="BN56" i="2"/>
  <c r="BO53" i="2"/>
  <c r="BN44" i="2"/>
  <c r="BP69" i="2"/>
  <c r="BP44" i="2"/>
  <c r="BN31" i="2"/>
  <c r="BP31" i="2"/>
  <c r="BO45" i="2"/>
  <c r="BN45" i="2"/>
  <c r="BO82" i="2"/>
  <c r="BN82" i="2"/>
  <c r="BO42" i="2"/>
  <c r="BN42" i="2"/>
  <c r="BP71" i="2"/>
  <c r="BP58" i="2"/>
  <c r="BP77" i="2"/>
  <c r="BO38" i="2"/>
  <c r="BN38" i="2"/>
  <c r="BP23" i="2"/>
  <c r="BP49" i="2"/>
  <c r="BO33" i="2"/>
  <c r="BN33" i="2"/>
  <c r="BP13" i="2"/>
  <c r="BP45" i="2"/>
  <c r="BP39" i="2"/>
  <c r="BO28" i="2"/>
  <c r="BN28" i="2"/>
  <c r="BP42" i="2"/>
  <c r="BP33" i="2"/>
  <c r="BP26" i="2"/>
  <c r="BO68" i="2"/>
  <c r="BN68" i="2"/>
  <c r="BO25" i="2"/>
  <c r="BN25" i="2"/>
  <c r="BP83" i="2"/>
  <c r="BP28" i="2"/>
  <c r="BN66" i="2"/>
  <c r="BP16" i="2"/>
  <c r="BP38" i="2"/>
  <c r="BO65" i="2"/>
  <c r="BN65" i="2"/>
  <c r="BO22" i="2"/>
  <c r="BN22" i="2"/>
  <c r="BN72" i="2"/>
  <c r="BN55" i="2"/>
  <c r="BN69" i="2"/>
  <c r="BP25" i="2"/>
  <c r="BO61" i="2"/>
  <c r="BN61" i="2"/>
  <c r="BN63" i="2"/>
  <c r="BN13" i="3" s="1"/>
  <c r="BP82" i="2"/>
  <c r="BN46" i="2"/>
  <c r="BP43" i="2"/>
  <c r="BN58" i="2"/>
  <c r="BO57" i="2"/>
  <c r="BQ57" i="2" s="1"/>
  <c r="BN57" i="2"/>
  <c r="BO15" i="2"/>
  <c r="BN15" i="2"/>
  <c r="BN52" i="2"/>
  <c r="BN71" i="2"/>
  <c r="BN49" i="2"/>
  <c r="BN77" i="2"/>
  <c r="BO54" i="2"/>
  <c r="BN54" i="2"/>
  <c r="BO12" i="2"/>
  <c r="BP12" i="6" s="1"/>
  <c r="BN12" i="2"/>
  <c r="BN43" i="2"/>
  <c r="BN23" i="2"/>
  <c r="BN74" i="2"/>
  <c r="BN39" i="2"/>
  <c r="BP72" i="2"/>
  <c r="BO51" i="2"/>
  <c r="BN51" i="2"/>
  <c r="BN29" i="2"/>
  <c r="BP66" i="2"/>
  <c r="BN13" i="2"/>
  <c r="BP20" i="2"/>
  <c r="BN26" i="2"/>
  <c r="BP63" i="2"/>
  <c r="BO48" i="2"/>
  <c r="BN48" i="2"/>
  <c r="BN20" i="2"/>
  <c r="BP55" i="2"/>
  <c r="BQ55" i="2" s="1"/>
  <c r="BP52" i="2"/>
  <c r="BN16" i="2"/>
  <c r="BP29" i="2"/>
  <c r="BD65" i="2"/>
  <c r="BH24" i="2"/>
  <c r="BI24" i="2" s="1"/>
  <c r="BD69" i="2"/>
  <c r="BC69" i="2" s="1"/>
  <c r="BC24" i="2"/>
  <c r="BH38" i="2"/>
  <c r="BI38" i="2" s="1"/>
  <c r="BH81" i="2"/>
  <c r="BI81" i="2" s="1"/>
  <c r="BC17" i="2"/>
  <c r="BC73" i="2"/>
  <c r="BH61" i="2"/>
  <c r="BI61" i="2" s="1"/>
  <c r="BF61" i="2"/>
  <c r="BF83" i="2"/>
  <c r="BH83" i="2"/>
  <c r="BI83" i="2" s="1"/>
  <c r="BC83" i="2"/>
  <c r="BC78" i="2"/>
  <c r="BF78" i="2"/>
  <c r="BH78" i="2"/>
  <c r="BI78" i="2" s="1"/>
  <c r="BH20" i="2"/>
  <c r="BI20" i="2" s="1"/>
  <c r="BF20" i="2"/>
  <c r="BC31" i="2"/>
  <c r="BD25" i="2"/>
  <c r="BH73" i="2"/>
  <c r="BI73" i="2" s="1"/>
  <c r="BD80" i="2"/>
  <c r="BH80" i="2" s="1"/>
  <c r="BI80" i="2" s="1"/>
  <c r="BF81" i="2"/>
  <c r="BD35" i="2"/>
  <c r="BD42" i="2"/>
  <c r="BC42" i="2" s="1"/>
  <c r="BH43" i="2"/>
  <c r="BI43" i="2" s="1"/>
  <c r="BF43" i="2"/>
  <c r="BC43" i="2"/>
  <c r="BC77" i="2"/>
  <c r="BF77" i="2"/>
  <c r="BH77" i="2"/>
  <c r="BI77" i="2" s="1"/>
  <c r="BC45" i="2"/>
  <c r="BF45" i="2"/>
  <c r="BH45" i="2"/>
  <c r="BI45" i="2" s="1"/>
  <c r="BC66" i="2"/>
  <c r="BF66" i="2"/>
  <c r="BF22" i="2"/>
  <c r="BC22" i="2"/>
  <c r="BH22" i="2"/>
  <c r="BI22" i="2" s="1"/>
  <c r="BF52" i="2"/>
  <c r="BC52" i="2"/>
  <c r="BH56" i="2"/>
  <c r="BI56" i="2" s="1"/>
  <c r="BH50" i="2"/>
  <c r="BI50" i="2" s="1"/>
  <c r="BC61" i="2"/>
  <c r="BD72" i="2"/>
  <c r="BH72" i="2" s="1"/>
  <c r="BI72" i="2" s="1"/>
  <c r="BC56" i="2"/>
  <c r="BH52" i="2"/>
  <c r="BI52" i="2" s="1"/>
  <c r="BD51" i="2"/>
  <c r="BH76" i="2"/>
  <c r="BI76" i="2" s="1"/>
  <c r="BC50" i="2"/>
  <c r="BF38" i="2"/>
  <c r="BD46" i="2"/>
  <c r="BH46" i="2" s="1"/>
  <c r="BI46" i="2" s="1"/>
  <c r="BH44" i="2"/>
  <c r="BI44" i="2" s="1"/>
  <c r="BC44" i="2"/>
  <c r="BH66" i="2"/>
  <c r="BI66" i="2" s="1"/>
  <c r="BH31" i="2"/>
  <c r="BI31" i="2" s="1"/>
  <c r="BH17" i="2"/>
  <c r="BI17" i="2" s="1"/>
  <c r="BC20" i="2"/>
  <c r="BC76" i="2"/>
  <c r="AB21" i="2"/>
  <c r="AC21" i="2" s="1"/>
  <c r="W20" i="2"/>
  <c r="AB20" i="2"/>
  <c r="AC20" i="2" s="1"/>
  <c r="AB57" i="2"/>
  <c r="AC57" i="2" s="1"/>
  <c r="W81" i="2"/>
  <c r="AB81" i="2"/>
  <c r="AC81" i="2" s="1"/>
  <c r="Z69" i="2"/>
  <c r="AB68" i="2"/>
  <c r="AC68" i="2" s="1"/>
  <c r="W68" i="2"/>
  <c r="Z80" i="2"/>
  <c r="AB80" i="2"/>
  <c r="AC80" i="2" s="1"/>
  <c r="W14" i="2"/>
  <c r="W57" i="2"/>
  <c r="Z57" i="2"/>
  <c r="W24" i="2"/>
  <c r="AB67" i="2"/>
  <c r="AC67" i="2" s="1"/>
  <c r="X12" i="2"/>
  <c r="Y12" i="6" s="1"/>
  <c r="W59" i="2"/>
  <c r="AB33" i="2"/>
  <c r="AC33" i="2" s="1"/>
  <c r="AB59" i="2"/>
  <c r="AC59" i="2" s="1"/>
  <c r="Z67" i="2"/>
  <c r="AB24" i="2"/>
  <c r="AC24" i="2" s="1"/>
  <c r="X74" i="2"/>
  <c r="W74" i="2" s="1"/>
  <c r="W21" i="2"/>
  <c r="X71" i="2"/>
  <c r="Z71" i="2" s="1"/>
  <c r="W65" i="2"/>
  <c r="Z65" i="2"/>
  <c r="W54" i="2"/>
  <c r="Z54" i="2"/>
  <c r="AB65" i="2"/>
  <c r="AC65" i="2" s="1"/>
  <c r="W75" i="2"/>
  <c r="Z75" i="2"/>
  <c r="W16" i="2"/>
  <c r="Z16" i="2"/>
  <c r="AB16" i="2"/>
  <c r="AC16" i="2" s="1"/>
  <c r="W82" i="2"/>
  <c r="Z82" i="2"/>
  <c r="Z13" i="2"/>
  <c r="W13" i="2"/>
  <c r="Z39" i="2"/>
  <c r="W39" i="2"/>
  <c r="AB39" i="2"/>
  <c r="AC39" i="2" s="1"/>
  <c r="W29" i="2"/>
  <c r="Z29" i="2"/>
  <c r="X58" i="2"/>
  <c r="AB58" i="2" s="1"/>
  <c r="AC58" i="2" s="1"/>
  <c r="X78" i="2"/>
  <c r="AB82" i="2"/>
  <c r="AC82" i="2" s="1"/>
  <c r="Z37" i="2"/>
  <c r="W80" i="2"/>
  <c r="W48" i="2"/>
  <c r="AB75" i="2"/>
  <c r="AC75" i="2" s="1"/>
  <c r="AB13" i="2"/>
  <c r="AC13" i="2" s="1"/>
  <c r="Z26" i="2"/>
  <c r="AB47" i="2"/>
  <c r="AC47" i="2" s="1"/>
  <c r="Z79" i="2"/>
  <c r="AB79" i="2"/>
  <c r="AC79" i="2" s="1"/>
  <c r="AB83" i="2"/>
  <c r="AC83" i="2" s="1"/>
  <c r="W83" i="2"/>
  <c r="AB44" i="2"/>
  <c r="AC44" i="2" s="1"/>
  <c r="M9" i="5" s="1"/>
  <c r="X55" i="2"/>
  <c r="W15" i="2"/>
  <c r="Z15" i="2"/>
  <c r="AB15" i="2"/>
  <c r="AC15" i="2" s="1"/>
  <c r="W23" i="2"/>
  <c r="AB69" i="2"/>
  <c r="AC69" i="2" s="1"/>
  <c r="Z23" i="2"/>
  <c r="AB14" i="2"/>
  <c r="AC14" i="2" s="1"/>
  <c r="Z70" i="2"/>
  <c r="Z83" i="2"/>
  <c r="AB29" i="2"/>
  <c r="AC29" i="2" s="1"/>
  <c r="Z81" i="2"/>
  <c r="Z20" i="2"/>
  <c r="AB73" i="2"/>
  <c r="AC73" i="2" s="1"/>
  <c r="AB41" i="2"/>
  <c r="AC41" i="2" s="1"/>
  <c r="M4" i="5" s="1"/>
  <c r="W26" i="2"/>
  <c r="W73" i="2"/>
  <c r="Z33" i="2"/>
  <c r="AB28" i="2"/>
  <c r="AC28" i="2" s="1"/>
  <c r="W28" i="2"/>
  <c r="AB70" i="2"/>
  <c r="AC70" i="2" s="1"/>
  <c r="W37" i="2"/>
  <c r="W31" i="2"/>
  <c r="AB25" i="2"/>
  <c r="AC25" i="2" s="1"/>
  <c r="Z25" i="2"/>
  <c r="W47" i="2"/>
  <c r="W41" i="2"/>
  <c r="AB27" i="2"/>
  <c r="AC27" i="2" s="1"/>
  <c r="Z48" i="2"/>
  <c r="W27" i="2"/>
  <c r="Z28" i="2"/>
  <c r="Z46" i="2"/>
  <c r="W46" i="2"/>
  <c r="W43" i="2"/>
  <c r="AB43" i="2"/>
  <c r="AC43" i="2" s="1"/>
  <c r="Z43" i="2"/>
  <c r="AB72" i="2"/>
  <c r="AC72" i="2" s="1"/>
  <c r="W72" i="2"/>
  <c r="Z72" i="2"/>
  <c r="AB66" i="2"/>
  <c r="AC66" i="2" s="1"/>
  <c r="W66" i="2"/>
  <c r="Z66" i="2"/>
  <c r="W35" i="2"/>
  <c r="W34" i="2" s="1"/>
  <c r="Z35" i="2"/>
  <c r="Z34" i="2" s="1"/>
  <c r="W52" i="2"/>
  <c r="Z52" i="2"/>
  <c r="AB35" i="2"/>
  <c r="AB52" i="2"/>
  <c r="AC52" i="2" s="1"/>
  <c r="Z51" i="2"/>
  <c r="W51" i="2"/>
  <c r="W76" i="2"/>
  <c r="Z76" i="2"/>
  <c r="W50" i="2"/>
  <c r="Z50" i="2"/>
  <c r="Z61" i="2"/>
  <c r="W61" i="2"/>
  <c r="AB17" i="2"/>
  <c r="AC17" i="2" s="1"/>
  <c r="W17" i="2"/>
  <c r="AB31" i="2"/>
  <c r="AC31" i="2" s="1"/>
  <c r="Z38" i="2"/>
  <c r="W38" i="2"/>
  <c r="W44" i="2"/>
  <c r="Z77" i="2"/>
  <c r="W77" i="2"/>
  <c r="AB46" i="2"/>
  <c r="AC46" i="2" s="1"/>
  <c r="AB50" i="2"/>
  <c r="AC50" i="2" s="1"/>
  <c r="Z45" i="2"/>
  <c r="W45" i="2"/>
  <c r="Z22" i="2"/>
  <c r="W22" i="2"/>
  <c r="W56" i="2"/>
  <c r="Z56" i="2"/>
  <c r="W53" i="2"/>
  <c r="Y13" i="3" s="1"/>
  <c r="Z53" i="2"/>
  <c r="AA13" i="3" s="1"/>
  <c r="Z42" i="2"/>
  <c r="W42" i="2"/>
  <c r="AB61" i="2"/>
  <c r="AC61" i="2" s="1"/>
  <c r="AR44" i="2"/>
  <c r="AS44" i="2" s="1"/>
  <c r="O9" i="5" s="1"/>
  <c r="AM44" i="2"/>
  <c r="AH50" i="2"/>
  <c r="AH17" i="2"/>
  <c r="AF42" i="2"/>
  <c r="AH42" i="2" s="1"/>
  <c r="AE53" i="2"/>
  <c r="AF13" i="3" s="1"/>
  <c r="AJ66" i="2"/>
  <c r="AK66" i="2" s="1"/>
  <c r="AJ56" i="2"/>
  <c r="AK56" i="2" s="1"/>
  <c r="AH41" i="2"/>
  <c r="AE45" i="2"/>
  <c r="AH45" i="2"/>
  <c r="AJ61" i="2"/>
  <c r="AK61" i="2" s="1"/>
  <c r="AH61" i="2"/>
  <c r="AE61" i="2"/>
  <c r="AJ31" i="2"/>
  <c r="AK31" i="2" s="1"/>
  <c r="AH31" i="2"/>
  <c r="AJ53" i="2"/>
  <c r="AJ13" i="3" s="1"/>
  <c r="AF52" i="2"/>
  <c r="AJ52" i="2" s="1"/>
  <c r="AK52" i="2" s="1"/>
  <c r="AH56" i="2"/>
  <c r="AF51" i="2"/>
  <c r="AJ51" i="2" s="1"/>
  <c r="AK51" i="2" s="1"/>
  <c r="AE50" i="2"/>
  <c r="AE43" i="2"/>
  <c r="AH43" i="2"/>
  <c r="AJ43" i="2"/>
  <c r="AK43" i="2" s="1"/>
  <c r="AE77" i="2"/>
  <c r="AJ77" i="2"/>
  <c r="AK77" i="2" s="1"/>
  <c r="AH77" i="2"/>
  <c r="AJ38" i="2"/>
  <c r="AK38" i="2" s="1"/>
  <c r="N5" i="5" s="1"/>
  <c r="AE38" i="2"/>
  <c r="AH38" i="2"/>
  <c r="AH20" i="2"/>
  <c r="AE20" i="2"/>
  <c r="AJ20" i="2"/>
  <c r="AK20" i="2" s="1"/>
  <c r="AH35" i="2"/>
  <c r="AH34" i="2" s="1"/>
  <c r="AE35" i="2"/>
  <c r="AE34" i="2" s="1"/>
  <c r="AJ35" i="2"/>
  <c r="AE21" i="2"/>
  <c r="AH66" i="2"/>
  <c r="AE66" i="2"/>
  <c r="AH46" i="2"/>
  <c r="AE46" i="2"/>
  <c r="AJ44" i="2"/>
  <c r="AK44" i="2" s="1"/>
  <c r="N9" i="5" s="1"/>
  <c r="AJ21" i="2"/>
  <c r="AK21" i="2" s="1"/>
  <c r="AE17" i="2"/>
  <c r="AE41" i="2"/>
  <c r="AJ45" i="2"/>
  <c r="AK45" i="2" s="1"/>
  <c r="N8" i="5" s="1"/>
  <c r="AJ22" i="2"/>
  <c r="AK22" i="2" s="1"/>
  <c r="AE44" i="2"/>
  <c r="AJ76" i="2"/>
  <c r="AK76" i="2" s="1"/>
  <c r="AH22" i="2"/>
  <c r="AE76" i="2"/>
  <c r="AE72" i="2"/>
  <c r="AH72" i="2"/>
  <c r="AP17" i="2"/>
  <c r="AM17" i="2"/>
  <c r="AR50" i="2"/>
  <c r="AS50" i="2" s="1"/>
  <c r="AM50" i="2"/>
  <c r="AP50" i="2"/>
  <c r="AP41" i="2"/>
  <c r="AP61" i="2"/>
  <c r="AR17" i="2"/>
  <c r="AS17" i="2" s="1"/>
  <c r="AP44" i="2"/>
  <c r="AR41" i="2"/>
  <c r="AS41" i="2" s="1"/>
  <c r="O4" i="5" s="1"/>
  <c r="AM61" i="2"/>
  <c r="AP31" i="2"/>
  <c r="AM31" i="2"/>
  <c r="AR52" i="2"/>
  <c r="AS52" i="2" s="1"/>
  <c r="AM52" i="2"/>
  <c r="AP52" i="2"/>
  <c r="AN66" i="2"/>
  <c r="AR46" i="2"/>
  <c r="AS46" i="2" s="1"/>
  <c r="AM53" i="2"/>
  <c r="AN13" i="3" s="1"/>
  <c r="AR21" i="2"/>
  <c r="AS21" i="2" s="1"/>
  <c r="AM21" i="2"/>
  <c r="AM43" i="2"/>
  <c r="AR43" i="2"/>
  <c r="AS43" i="2" s="1"/>
  <c r="AP43" i="2"/>
  <c r="AR35" i="2"/>
  <c r="AM35" i="2"/>
  <c r="AM34" i="2" s="1"/>
  <c r="AP35" i="2"/>
  <c r="AP34" i="2" s="1"/>
  <c r="AP22" i="2"/>
  <c r="AM22" i="2"/>
  <c r="AP20" i="2"/>
  <c r="AR20" i="2"/>
  <c r="AS20" i="2" s="1"/>
  <c r="AM20" i="2"/>
  <c r="AR22" i="2"/>
  <c r="AS22" i="2" s="1"/>
  <c r="AR53" i="2"/>
  <c r="AR13" i="3" s="1"/>
  <c r="AR42" i="2"/>
  <c r="AS42" i="2" s="1"/>
  <c r="O6" i="5" s="1"/>
  <c r="AP77" i="2"/>
  <c r="AM77" i="2"/>
  <c r="AP56" i="2"/>
  <c r="AR31" i="2"/>
  <c r="AS31" i="2" s="1"/>
  <c r="AR38" i="2"/>
  <c r="AS38" i="2" s="1"/>
  <c r="O5" i="5" s="1"/>
  <c r="AR56" i="2"/>
  <c r="AS56" i="2" s="1"/>
  <c r="AP51" i="2"/>
  <c r="AM51" i="2"/>
  <c r="AR72" i="2"/>
  <c r="AS72" i="2" s="1"/>
  <c r="AP72" i="2"/>
  <c r="AP46" i="2"/>
  <c r="AM76" i="2"/>
  <c r="AP76" i="2"/>
  <c r="AP45" i="2"/>
  <c r="AM45" i="2"/>
  <c r="AP42" i="2"/>
  <c r="AM42" i="2"/>
  <c r="AM38" i="2"/>
  <c r="AP38" i="2"/>
  <c r="S61" i="2"/>
  <c r="AX51" i="2"/>
  <c r="AX22" i="2"/>
  <c r="AX76" i="2"/>
  <c r="AX17" i="2"/>
  <c r="AX43" i="2"/>
  <c r="S78" i="2"/>
  <c r="AX77" i="2"/>
  <c r="AX21" i="2"/>
  <c r="AX66" i="2"/>
  <c r="AX52" i="2"/>
  <c r="AX31" i="2"/>
  <c r="AX46" i="2"/>
  <c r="AX42" i="2"/>
  <c r="AX56" i="2"/>
  <c r="AX53" i="2"/>
  <c r="AY13" i="3" s="1"/>
  <c r="AX44" i="2"/>
  <c r="S75" i="2"/>
  <c r="AX41" i="2"/>
  <c r="AX50" i="2"/>
  <c r="AX35" i="2"/>
  <c r="AX34" i="2" s="1"/>
  <c r="AX45" i="2"/>
  <c r="AZ42" i="2"/>
  <c r="BA42" i="2" s="1"/>
  <c r="P6" i="5" s="1"/>
  <c r="K46" i="2"/>
  <c r="S53" i="2"/>
  <c r="L22" i="2"/>
  <c r="S55" i="2"/>
  <c r="S63" i="2"/>
  <c r="S58" i="2"/>
  <c r="AZ52" i="2"/>
  <c r="BA52" i="2" s="1"/>
  <c r="T59" i="2"/>
  <c r="K74" i="2"/>
  <c r="T76" i="2"/>
  <c r="S31" i="2"/>
  <c r="K35" i="2"/>
  <c r="K34" i="2" s="1"/>
  <c r="T79" i="2"/>
  <c r="AU53" i="2"/>
  <c r="AW13" i="3" s="1"/>
  <c r="AZ31" i="2"/>
  <c r="BA31" i="2" s="1"/>
  <c r="AZ22" i="2"/>
  <c r="BA22" i="2" s="1"/>
  <c r="AZ43" i="2"/>
  <c r="BA43" i="2" s="1"/>
  <c r="AZ76" i="2"/>
  <c r="BA76" i="2" s="1"/>
  <c r="AZ17" i="2"/>
  <c r="BA17" i="2" s="1"/>
  <c r="AV61" i="2"/>
  <c r="AU20" i="2"/>
  <c r="AZ20" i="2"/>
  <c r="BA20" i="2" s="1"/>
  <c r="AU35" i="2"/>
  <c r="AU34" i="2" s="1"/>
  <c r="AZ77" i="2"/>
  <c r="BA77" i="2" s="1"/>
  <c r="AZ44" i="2"/>
  <c r="BA44" i="2" s="1"/>
  <c r="P9" i="5" s="1"/>
  <c r="AZ21" i="2"/>
  <c r="BA21" i="2" s="1"/>
  <c r="AZ66" i="2"/>
  <c r="BA66" i="2" s="1"/>
  <c r="AU38" i="2"/>
  <c r="AZ38" i="2"/>
  <c r="BA38" i="2" s="1"/>
  <c r="P5" i="5" s="1"/>
  <c r="AZ50" i="2"/>
  <c r="BA50" i="2" s="1"/>
  <c r="AZ56" i="2"/>
  <c r="BA56" i="2" s="1"/>
  <c r="AZ41" i="2"/>
  <c r="BA41" i="2" s="1"/>
  <c r="AU45" i="2"/>
  <c r="AV72" i="2"/>
  <c r="AZ51" i="2"/>
  <c r="BA51" i="2" s="1"/>
  <c r="AZ46" i="2"/>
  <c r="BA46" i="2" s="1"/>
  <c r="K48" i="2"/>
  <c r="K45" i="2"/>
  <c r="T74" i="2"/>
  <c r="S74" i="2"/>
  <c r="K69" i="2"/>
  <c r="S17" i="2"/>
  <c r="S71" i="2"/>
  <c r="S81" i="2"/>
  <c r="S67" i="2"/>
  <c r="K68" i="2"/>
  <c r="K59" i="2"/>
  <c r="T53" i="2"/>
  <c r="S65" i="2"/>
  <c r="S29" i="2"/>
  <c r="K61" i="2"/>
  <c r="T73" i="2"/>
  <c r="T22" i="2"/>
  <c r="K77" i="2"/>
  <c r="S38" i="2"/>
  <c r="L41" i="2"/>
  <c r="S79" i="2"/>
  <c r="S41" i="2"/>
  <c r="T58" i="2"/>
  <c r="T78" i="2"/>
  <c r="K79" i="2"/>
  <c r="T42" i="2"/>
  <c r="S49" i="2"/>
  <c r="T16" i="2"/>
  <c r="L25" i="2"/>
  <c r="L59" i="2"/>
  <c r="T46" i="2"/>
  <c r="K41" i="2"/>
  <c r="S66" i="2"/>
  <c r="L17" i="2"/>
  <c r="S37" i="2"/>
  <c r="L65" i="2"/>
  <c r="S23" i="2"/>
  <c r="T72" i="2"/>
  <c r="K25" i="2"/>
  <c r="L45" i="2"/>
  <c r="K83" i="2"/>
  <c r="T80" i="2"/>
  <c r="S24" i="2"/>
  <c r="S43" i="2"/>
  <c r="S27" i="2"/>
  <c r="S48" i="2"/>
  <c r="K55" i="2"/>
  <c r="K33" i="2"/>
  <c r="K67" i="2"/>
  <c r="K73" i="2"/>
  <c r="S83" i="2"/>
  <c r="T39" i="2"/>
  <c r="K63" i="2"/>
  <c r="K53" i="2"/>
  <c r="T47" i="2"/>
  <c r="K13" i="2"/>
  <c r="S20" i="2"/>
  <c r="T67" i="2"/>
  <c r="K26" i="2"/>
  <c r="L74" i="2"/>
  <c r="L57" i="2"/>
  <c r="L47" i="2"/>
  <c r="S54" i="2"/>
  <c r="T52" i="2"/>
  <c r="S51" i="2"/>
  <c r="S25" i="2"/>
  <c r="S72" i="2"/>
  <c r="K81" i="2"/>
  <c r="K42" i="2"/>
  <c r="K28" i="2"/>
  <c r="T71" i="2"/>
  <c r="S33" i="2"/>
  <c r="T41" i="2"/>
  <c r="L80" i="2"/>
  <c r="T68" i="2"/>
  <c r="S22" i="2"/>
  <c r="T28" i="2"/>
  <c r="S56" i="2"/>
  <c r="L56" i="2"/>
  <c r="K12" i="2"/>
  <c r="T77" i="2"/>
  <c r="K49" i="2"/>
  <c r="K14" i="3" s="1"/>
  <c r="K23" i="2"/>
  <c r="K54" i="2"/>
  <c r="T70" i="2"/>
  <c r="S35" i="2"/>
  <c r="S34" i="2" s="1"/>
  <c r="T29" i="2"/>
  <c r="T31" i="2"/>
  <c r="T44" i="2"/>
  <c r="T17" i="2"/>
  <c r="S21" i="2"/>
  <c r="S39" i="2"/>
  <c r="T65" i="2"/>
  <c r="S47" i="2"/>
  <c r="S46" i="2"/>
  <c r="S82" i="2"/>
  <c r="S26" i="2"/>
  <c r="S16" i="2"/>
  <c r="S15" i="2"/>
  <c r="S57" i="2"/>
  <c r="T37" i="2"/>
  <c r="S77" i="2"/>
  <c r="T48" i="2"/>
  <c r="T83" i="2"/>
  <c r="S12" i="2"/>
  <c r="S70" i="2"/>
  <c r="S28" i="2"/>
  <c r="T81" i="2"/>
  <c r="T61" i="2"/>
  <c r="T45" i="2"/>
  <c r="T54" i="2"/>
  <c r="T50" i="2"/>
  <c r="T24" i="2"/>
  <c r="T14" i="2"/>
  <c r="T38" i="2"/>
  <c r="S69" i="2"/>
  <c r="T55" i="2"/>
  <c r="S13" i="2"/>
  <c r="T21" i="2"/>
  <c r="T33" i="2"/>
  <c r="T57" i="2"/>
  <c r="T23" i="2"/>
  <c r="S80" i="2"/>
  <c r="T69" i="2"/>
  <c r="S50" i="2"/>
  <c r="T35" i="2"/>
  <c r="T34" i="2" s="1"/>
  <c r="T49" i="2"/>
  <c r="T63" i="2"/>
  <c r="S44" i="2"/>
  <c r="S42" i="2"/>
  <c r="S68" i="2"/>
  <c r="T26" i="2"/>
  <c r="T56" i="2"/>
  <c r="T12" i="2"/>
  <c r="U12" i="6" s="1"/>
  <c r="S73" i="2"/>
  <c r="T27" i="2"/>
  <c r="T75" i="2"/>
  <c r="T13" i="2"/>
  <c r="S52" i="2"/>
  <c r="T82" i="2"/>
  <c r="S14" i="2"/>
  <c r="T51" i="2"/>
  <c r="S76" i="2"/>
  <c r="T66" i="2"/>
  <c r="T25" i="2"/>
  <c r="S59" i="2"/>
  <c r="S45" i="2"/>
  <c r="T15" i="2"/>
  <c r="T43" i="2"/>
  <c r="T20" i="2"/>
  <c r="K76" i="2"/>
  <c r="L83" i="2"/>
  <c r="K44" i="2"/>
  <c r="K58" i="2"/>
  <c r="K38" i="2"/>
  <c r="K29" i="2"/>
  <c r="K65" i="2"/>
  <c r="K47" i="2"/>
  <c r="K52" i="2"/>
  <c r="K22" i="2"/>
  <c r="K43" i="2"/>
  <c r="K20" i="2"/>
  <c r="K51" i="2"/>
  <c r="L69" i="2"/>
  <c r="K75" i="2"/>
  <c r="K39" i="2"/>
  <c r="L15" i="2"/>
  <c r="L79" i="2"/>
  <c r="L14" i="2"/>
  <c r="L71" i="2"/>
  <c r="K17" i="2"/>
  <c r="L68" i="2"/>
  <c r="K66" i="2"/>
  <c r="L29" i="2"/>
  <c r="L33" i="2"/>
  <c r="K16" i="2"/>
  <c r="L48" i="2"/>
  <c r="L70" i="2"/>
  <c r="L50" i="2"/>
  <c r="L73" i="2"/>
  <c r="L24" i="2"/>
  <c r="K56" i="2"/>
  <c r="K14" i="2"/>
  <c r="K72" i="2"/>
  <c r="L31" i="2"/>
  <c r="K78" i="2"/>
  <c r="K82" i="2"/>
  <c r="L53" i="2"/>
  <c r="K70" i="2"/>
  <c r="K57" i="2"/>
  <c r="K50" i="2"/>
  <c r="L51" i="2"/>
  <c r="L54" i="2"/>
  <c r="K37" i="2"/>
  <c r="L82" i="2"/>
  <c r="L67" i="2"/>
  <c r="L78" i="2"/>
  <c r="L72" i="2"/>
  <c r="L52" i="2"/>
  <c r="L35" i="2"/>
  <c r="L34" i="2" s="1"/>
  <c r="K31" i="2"/>
  <c r="K21" i="2"/>
  <c r="K80" i="2"/>
  <c r="L27" i="2"/>
  <c r="L23" i="2"/>
  <c r="L26" i="2"/>
  <c r="L77" i="2"/>
  <c r="K15" i="2"/>
  <c r="L16" i="2"/>
  <c r="L12" i="2"/>
  <c r="M12" i="6" s="1"/>
  <c r="K71" i="2"/>
  <c r="K24" i="2"/>
  <c r="L66" i="2"/>
  <c r="L38" i="2"/>
  <c r="L81" i="2"/>
  <c r="L58" i="2"/>
  <c r="L28" i="2"/>
  <c r="L75" i="2"/>
  <c r="L46" i="2"/>
  <c r="L63" i="2"/>
  <c r="L39" i="2"/>
  <c r="L76" i="2"/>
  <c r="L55" i="2"/>
  <c r="L49" i="2"/>
  <c r="L43" i="2"/>
  <c r="L61" i="2"/>
  <c r="L44" i="2"/>
  <c r="L42" i="2"/>
  <c r="K27" i="2"/>
  <c r="L20" i="2"/>
  <c r="L37" i="2"/>
  <c r="L21" i="2"/>
  <c r="L13" i="2"/>
  <c r="AS35" i="2" l="1"/>
  <c r="AR34" i="2"/>
  <c r="AZ35" i="2"/>
  <c r="AV34" i="2"/>
  <c r="AC35" i="2"/>
  <c r="AC34" i="2" s="1"/>
  <c r="AB34" i="2"/>
  <c r="BC35" i="2"/>
  <c r="BC34" i="2" s="1"/>
  <c r="BD34" i="2"/>
  <c r="AK35" i="2"/>
  <c r="AK34" i="2" s="1"/>
  <c r="AJ34" i="2"/>
  <c r="U62" i="2"/>
  <c r="BQ54" i="2"/>
  <c r="BQ74" i="2"/>
  <c r="BQ79" i="2"/>
  <c r="U18" i="2"/>
  <c r="M18" i="2"/>
  <c r="BQ67" i="2"/>
  <c r="M7" i="5"/>
  <c r="N7" i="5"/>
  <c r="BQ31" i="2"/>
  <c r="BQ35" i="2"/>
  <c r="BQ34" i="2" s="1"/>
  <c r="BQ14" i="2"/>
  <c r="W49" i="2"/>
  <c r="Y14" i="3" s="1"/>
  <c r="BQ39" i="2"/>
  <c r="BQ76" i="2"/>
  <c r="P4" i="5"/>
  <c r="BQ70" i="2"/>
  <c r="AE18" i="2"/>
  <c r="AH18" i="2"/>
  <c r="AM18" i="2"/>
  <c r="AP18" i="2"/>
  <c r="AU18" i="2"/>
  <c r="AX18" i="2"/>
  <c r="AJ18" i="2"/>
  <c r="AK18" i="2" s="1"/>
  <c r="BQ66" i="2"/>
  <c r="R12" i="3"/>
  <c r="S12" i="6"/>
  <c r="BQ47" i="2"/>
  <c r="T14" i="3"/>
  <c r="BQ37" i="2"/>
  <c r="J12" i="3"/>
  <c r="K12" i="6"/>
  <c r="BN12" i="3"/>
  <c r="BO12" i="6"/>
  <c r="K12" i="3"/>
  <c r="L12" i="6"/>
  <c r="BQ72" i="2"/>
  <c r="BQ80" i="2"/>
  <c r="S12" i="3"/>
  <c r="T12" i="6"/>
  <c r="BQ29" i="2"/>
  <c r="BQ61" i="2"/>
  <c r="BQ65" i="2"/>
  <c r="M13" i="6"/>
  <c r="BC13" i="6"/>
  <c r="BF13" i="6"/>
  <c r="BH13" i="6"/>
  <c r="BI13" i="6" s="1"/>
  <c r="Z63" i="2"/>
  <c r="BQ43" i="2"/>
  <c r="BQ16" i="2"/>
  <c r="BQ20" i="2"/>
  <c r="BQ58" i="2"/>
  <c r="S14" i="3"/>
  <c r="BQ17" i="2"/>
  <c r="BQ46" i="2"/>
  <c r="BQ52" i="2"/>
  <c r="BQ50" i="2"/>
  <c r="BQ15" i="2"/>
  <c r="BP12" i="3"/>
  <c r="BQ24" i="2"/>
  <c r="AO13" i="3"/>
  <c r="AZ13" i="3"/>
  <c r="L12" i="3"/>
  <c r="Z14" i="3"/>
  <c r="AA14" i="3"/>
  <c r="X13" i="3"/>
  <c r="BH41" i="2"/>
  <c r="BI41" i="2" s="1"/>
  <c r="T12" i="3"/>
  <c r="BC53" i="2"/>
  <c r="BC13" i="3" s="1"/>
  <c r="BQ23" i="2"/>
  <c r="BQ21" i="2"/>
  <c r="BQ22" i="2"/>
  <c r="BQ26" i="2"/>
  <c r="L14" i="3"/>
  <c r="BQ69" i="2"/>
  <c r="W13" i="3"/>
  <c r="BO14" i="3"/>
  <c r="BN14" i="3"/>
  <c r="BF13" i="3"/>
  <c r="BO13" i="3"/>
  <c r="AX13" i="3"/>
  <c r="K13" i="3"/>
  <c r="BQ53" i="2"/>
  <c r="BH53" i="2"/>
  <c r="BH13" i="3" s="1"/>
  <c r="BP14" i="3"/>
  <c r="AE13" i="3"/>
  <c r="AV13" i="3"/>
  <c r="AU13" i="3"/>
  <c r="BQ42" i="2"/>
  <c r="BQ77" i="2"/>
  <c r="BF21" i="2"/>
  <c r="BC21" i="2"/>
  <c r="AS53" i="2"/>
  <c r="S13" i="3"/>
  <c r="AK53" i="2"/>
  <c r="N3" i="5" s="1"/>
  <c r="AK13" i="3"/>
  <c r="BQ49" i="2"/>
  <c r="BQ14" i="3"/>
  <c r="Z13" i="3"/>
  <c r="T13" i="3"/>
  <c r="L13" i="3"/>
  <c r="BE13" i="3"/>
  <c r="BQ71" i="2"/>
  <c r="AB49" i="2"/>
  <c r="X14" i="3"/>
  <c r="BH21" i="2"/>
  <c r="BI21" i="2" s="1"/>
  <c r="BQ68" i="2"/>
  <c r="BQ63" i="2"/>
  <c r="BP13" i="3"/>
  <c r="BQ12" i="2"/>
  <c r="BQ12" i="3" s="1"/>
  <c r="BO12" i="3"/>
  <c r="BQ75" i="2"/>
  <c r="AB63" i="2"/>
  <c r="BQ83" i="2"/>
  <c r="BQ13" i="2"/>
  <c r="BQ78" i="2"/>
  <c r="BC41" i="2"/>
  <c r="BQ48" i="2"/>
  <c r="BQ82" i="2"/>
  <c r="BQ44" i="2"/>
  <c r="BQ51" i="2"/>
  <c r="BQ25" i="2"/>
  <c r="BQ33" i="2"/>
  <c r="BQ38" i="2"/>
  <c r="BQ28" i="2"/>
  <c r="BQ45" i="2"/>
  <c r="BF69" i="2"/>
  <c r="BF35" i="2"/>
  <c r="BF34" i="2" s="1"/>
  <c r="BF65" i="2"/>
  <c r="BC65" i="2"/>
  <c r="BH69" i="2"/>
  <c r="BI69" i="2" s="1"/>
  <c r="BF42" i="2"/>
  <c r="BH42" i="2"/>
  <c r="BI42" i="2" s="1"/>
  <c r="BH35" i="2"/>
  <c r="BH65" i="2"/>
  <c r="BI65" i="2" s="1"/>
  <c r="BF80" i="2"/>
  <c r="BC80" i="2"/>
  <c r="BC25" i="2"/>
  <c r="BF25" i="2"/>
  <c r="BH25" i="2"/>
  <c r="BI25" i="2" s="1"/>
  <c r="BF46" i="2"/>
  <c r="BC46" i="2"/>
  <c r="BC51" i="2"/>
  <c r="BF51" i="2"/>
  <c r="BH51" i="2"/>
  <c r="BI51" i="2" s="1"/>
  <c r="BF72" i="2"/>
  <c r="BC72" i="2"/>
  <c r="W71" i="2"/>
  <c r="M20" i="2"/>
  <c r="E5" i="5" s="1"/>
  <c r="U61" i="2"/>
  <c r="U71" i="2"/>
  <c r="Z74" i="2"/>
  <c r="Z12" i="2"/>
  <c r="AA12" i="6" s="1"/>
  <c r="W12" i="2"/>
  <c r="AB71" i="2"/>
  <c r="AC71" i="2" s="1"/>
  <c r="AB74" i="2"/>
  <c r="AC74" i="2" s="1"/>
  <c r="AB12" i="2"/>
  <c r="AC12" i="6" s="1"/>
  <c r="W55" i="2"/>
  <c r="Z55" i="2"/>
  <c r="AB55" i="2"/>
  <c r="AC55" i="2" s="1"/>
  <c r="W78" i="2"/>
  <c r="Z78" i="2"/>
  <c r="W58" i="2"/>
  <c r="Z58" i="2"/>
  <c r="AB78" i="2"/>
  <c r="AC78" i="2" s="1"/>
  <c r="AJ42" i="2"/>
  <c r="AK42" i="2" s="1"/>
  <c r="N6" i="5" s="1"/>
  <c r="AE52" i="2"/>
  <c r="AH52" i="2"/>
  <c r="AE42" i="2"/>
  <c r="AE51" i="2"/>
  <c r="AH51" i="2"/>
  <c r="M22" i="2"/>
  <c r="AM66" i="2"/>
  <c r="AP66" i="2"/>
  <c r="AR66" i="2"/>
  <c r="AS66" i="2" s="1"/>
  <c r="U53" i="2"/>
  <c r="U75" i="2"/>
  <c r="U78" i="2"/>
  <c r="M76" i="2"/>
  <c r="U79" i="2"/>
  <c r="AU72" i="2"/>
  <c r="AX72" i="2"/>
  <c r="AU61" i="2"/>
  <c r="AX61" i="2"/>
  <c r="U55" i="2"/>
  <c r="M35" i="2"/>
  <c r="M34" i="2" s="1"/>
  <c r="M46" i="2"/>
  <c r="U59" i="2"/>
  <c r="U46" i="2"/>
  <c r="U48" i="2"/>
  <c r="U74" i="2"/>
  <c r="U47" i="2"/>
  <c r="M77" i="2"/>
  <c r="U50" i="2"/>
  <c r="U29" i="2"/>
  <c r="M61" i="2"/>
  <c r="U58" i="2"/>
  <c r="U76" i="2"/>
  <c r="M48" i="2"/>
  <c r="U28" i="2"/>
  <c r="U63" i="2"/>
  <c r="M63" i="2"/>
  <c r="M45" i="2"/>
  <c r="M74" i="2"/>
  <c r="U80" i="2"/>
  <c r="U67" i="2"/>
  <c r="M41" i="2"/>
  <c r="U51" i="2"/>
  <c r="U81" i="2"/>
  <c r="U31" i="2"/>
  <c r="AZ61" i="2"/>
  <c r="BA61" i="2" s="1"/>
  <c r="AZ72" i="2"/>
  <c r="BA72" i="2" s="1"/>
  <c r="M25" i="2"/>
  <c r="U54" i="2"/>
  <c r="U37" i="2"/>
  <c r="F12" i="5" s="1"/>
  <c r="M59" i="2"/>
  <c r="U73" i="2"/>
  <c r="M33" i="2"/>
  <c r="U33" i="2"/>
  <c r="U23" i="2"/>
  <c r="M67" i="2"/>
  <c r="M68" i="2"/>
  <c r="U17" i="2"/>
  <c r="M75" i="2"/>
  <c r="U43" i="2"/>
  <c r="U52" i="2"/>
  <c r="M23" i="2"/>
  <c r="M55" i="2"/>
  <c r="M52" i="2"/>
  <c r="U65" i="2"/>
  <c r="M26" i="2"/>
  <c r="M69" i="2"/>
  <c r="M83" i="2"/>
  <c r="U45" i="2"/>
  <c r="F14" i="5" s="1"/>
  <c r="M65" i="2"/>
  <c r="U41" i="2"/>
  <c r="U49" i="2"/>
  <c r="U16" i="2"/>
  <c r="U83" i="2"/>
  <c r="M49" i="2"/>
  <c r="U66" i="2"/>
  <c r="U24" i="2"/>
  <c r="M21" i="2"/>
  <c r="E6" i="5" s="1"/>
  <c r="U39" i="2"/>
  <c r="M39" i="2"/>
  <c r="M31" i="2"/>
  <c r="M29" i="2"/>
  <c r="U42" i="2"/>
  <c r="F10" i="5" s="1"/>
  <c r="U22" i="2"/>
  <c r="M57" i="2"/>
  <c r="M17" i="2"/>
  <c r="M42" i="2"/>
  <c r="M73" i="2"/>
  <c r="M79" i="2"/>
  <c r="U38" i="2"/>
  <c r="F9" i="5" s="1"/>
  <c r="M28" i="2"/>
  <c r="M44" i="2"/>
  <c r="M58" i="2"/>
  <c r="U72" i="2"/>
  <c r="M12" i="2"/>
  <c r="O12" i="3" s="1"/>
  <c r="M72" i="2"/>
  <c r="U77" i="2"/>
  <c r="M37" i="2"/>
  <c r="E12" i="5" s="1"/>
  <c r="M16" i="2"/>
  <c r="U68" i="2"/>
  <c r="M82" i="2"/>
  <c r="M78" i="2"/>
  <c r="M81" i="2"/>
  <c r="M43" i="2"/>
  <c r="M38" i="2"/>
  <c r="M50" i="2"/>
  <c r="M15" i="2"/>
  <c r="M47" i="2"/>
  <c r="M70" i="2"/>
  <c r="M53" i="2"/>
  <c r="U70" i="2"/>
  <c r="M56" i="2"/>
  <c r="M66" i="2"/>
  <c r="U35" i="2"/>
  <c r="M13" i="2"/>
  <c r="U20" i="2"/>
  <c r="F5" i="5" s="1"/>
  <c r="M54" i="2"/>
  <c r="M71" i="2"/>
  <c r="U57" i="2"/>
  <c r="M80" i="2"/>
  <c r="M27" i="2"/>
  <c r="M51" i="2"/>
  <c r="M24" i="2"/>
  <c r="M14" i="2"/>
  <c r="U13" i="2"/>
  <c r="U44" i="2"/>
  <c r="F13" i="5" s="1"/>
  <c r="U21" i="2"/>
  <c r="F6" i="5" s="1"/>
  <c r="U15" i="2"/>
  <c r="U69" i="2"/>
  <c r="U26" i="2"/>
  <c r="U12" i="2"/>
  <c r="V12" i="6" s="1"/>
  <c r="U14" i="2"/>
  <c r="U82" i="2"/>
  <c r="U56" i="2"/>
  <c r="U25" i="2"/>
  <c r="U27" i="2"/>
  <c r="BI35" i="2" l="1"/>
  <c r="BI34" i="2" s="1"/>
  <c r="BH34" i="2"/>
  <c r="BA35" i="2"/>
  <c r="AZ34" i="2"/>
  <c r="F11" i="5"/>
  <c r="U34" i="2"/>
  <c r="O7" i="5"/>
  <c r="AS34" i="2"/>
  <c r="Y12" i="3"/>
  <c r="X12" i="6"/>
  <c r="E14" i="5"/>
  <c r="L8" i="5"/>
  <c r="BD13" i="3"/>
  <c r="L7" i="5"/>
  <c r="E11" i="5"/>
  <c r="L5" i="5"/>
  <c r="E9" i="5"/>
  <c r="V13" i="3"/>
  <c r="F3" i="5"/>
  <c r="W14" i="3"/>
  <c r="F4" i="5"/>
  <c r="L9" i="5"/>
  <c r="E13" i="5"/>
  <c r="O14" i="3"/>
  <c r="E4" i="5"/>
  <c r="E8" i="5"/>
  <c r="E7" i="5"/>
  <c r="L4" i="5"/>
  <c r="E3" i="5"/>
  <c r="L3" i="5"/>
  <c r="L6" i="5"/>
  <c r="E10" i="5"/>
  <c r="F7" i="5"/>
  <c r="F8" i="5"/>
  <c r="AT13" i="3"/>
  <c r="O3" i="5"/>
  <c r="AL13" i="3"/>
  <c r="AM13" i="3"/>
  <c r="N13" i="3"/>
  <c r="O13" i="3"/>
  <c r="W12" i="3"/>
  <c r="U12" i="3"/>
  <c r="V12" i="3"/>
  <c r="M12" i="3"/>
  <c r="N12" i="3"/>
  <c r="U14" i="3"/>
  <c r="V14" i="3"/>
  <c r="Z12" i="3"/>
  <c r="AA12" i="3"/>
  <c r="BI53" i="2"/>
  <c r="M14" i="3"/>
  <c r="N14" i="3"/>
  <c r="X12" i="3"/>
  <c r="BQ13" i="3"/>
  <c r="M13" i="3"/>
  <c r="U13" i="3"/>
  <c r="AS13" i="3"/>
  <c r="BI13" i="3"/>
  <c r="AC49" i="2"/>
  <c r="AE14" i="3" s="1"/>
  <c r="AB14" i="3"/>
  <c r="AC63" i="2"/>
  <c r="AC13" i="3" s="1"/>
  <c r="AB13" i="3"/>
  <c r="AC12" i="2"/>
  <c r="AB12" i="3"/>
  <c r="BA34" i="2" l="1"/>
  <c r="P7" i="5"/>
  <c r="AE12" i="3"/>
  <c r="AD12" i="6"/>
  <c r="BJ13" i="3"/>
  <c r="BK13" i="3"/>
  <c r="AC12" i="3"/>
  <c r="AD12" i="3"/>
  <c r="AC14" i="3"/>
  <c r="AD1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tc={3216A7B8-4E5F-4A83-939B-D12AF50B71C4}</author>
  </authors>
  <commentList>
    <comment ref="B72" authorId="0" shapeId="0" xr:uid="{3216A7B8-4E5F-4A83-939B-D12AF50B71C4}">
      <text>
        <t>[Threaded comment]
Your version of Excel allows you to read this threaded comment; however, any edits to it will get removed if the file is opened in a newer version of Excel. Learn more: https://go.microsoft.com/fwlink/?linkid=870924
Comment:
    Contractor should use local CPT to derive shear strength params</t>
      </text>
    </comment>
  </commentList>
</comments>
</file>

<file path=xl/sharedStrings.xml><?xml version="1.0" encoding="utf-8"?>
<sst xmlns="http://schemas.openxmlformats.org/spreadsheetml/2006/main" count="1802" uniqueCount="396">
  <si>
    <t>Waar Bijlage 6 een keuze geeft tussen gedraineerd en ongedraineerd is een splitsing gemaakt in z en k.</t>
  </si>
  <si>
    <t xml:space="preserve">Voor alle keuzen geldt dat de IBs op basis van het beschikbare grondonderzoek moeten aantonen dat de keuze correct is. </t>
  </si>
  <si>
    <t>Eis D.10 verwijst naar  Tabel 2b van NEN 9997:2017. Getoetst aan Tabel 2b-1 en 2b-2 van Ontw. NEN 9997:2022; volumegewichten zijn identiek aan  Tabel 2b van NEN 9997:2017.</t>
  </si>
  <si>
    <t>Geen waarden beschikbaar.</t>
  </si>
  <si>
    <t>Dit is een check of het gaat om een zware klei, waar de SHANSEP parameters niet mogen worden gebruikt.</t>
  </si>
  <si>
    <t>De waarde voor keileem in de tabel 6.2 wordt niet gebruikt.</t>
  </si>
  <si>
    <t>SOS Code</t>
  </si>
  <si>
    <t>SOS Omschrijving</t>
  </si>
  <si>
    <t>NEN Omschrijving</t>
  </si>
  <si>
    <t>Indicatieve conuswaarde volgens Tabel 2b, niet voor ontwerp</t>
  </si>
  <si>
    <t>Gedraineerd / Ongedraineerd (G/D)</t>
  </si>
  <si>
    <t>γd (ondergrens)</t>
  </si>
  <si>
    <t>γd (bovengrens)</t>
  </si>
  <si>
    <t>γn (ondergrens)</t>
  </si>
  <si>
    <t>γn (bovengrens)</t>
  </si>
  <si>
    <t>c' (eff. coh.)</t>
  </si>
  <si>
    <t>omschrijving tbv Bijlage 13 tabel 6.1</t>
  </si>
  <si>
    <t>φ'(ondergrens)</t>
  </si>
  <si>
    <t>φ'(verwachtings-waarde)</t>
  </si>
  <si>
    <t>Ψ</t>
  </si>
  <si>
    <t>cu (ondergrens)</t>
  </si>
  <si>
    <t>cu (verwachtingswaarde)</t>
  </si>
  <si>
    <t>klei met volgew &gt; 17 kN/m3?</t>
  </si>
  <si>
    <t>SHANSEP parameters?</t>
  </si>
  <si>
    <t>S (ondergrens)</t>
  </si>
  <si>
    <t>S (verwachtings-waarde)</t>
  </si>
  <si>
    <t>m  (ondergrens)</t>
  </si>
  <si>
    <t>m  (verwachtings-waarde)</t>
  </si>
  <si>
    <t>POP (ondergrens)</t>
  </si>
  <si>
    <t>POP (verwachtings-waarde)</t>
  </si>
  <si>
    <t>Vs(ondergrens)</t>
  </si>
  <si>
    <t>Vs(bovengrens)</t>
  </si>
  <si>
    <t>[MPa]</t>
  </si>
  <si>
    <t>[kN/m3]</t>
  </si>
  <si>
    <t>[kN/m2]</t>
  </si>
  <si>
    <r>
      <t>[</t>
    </r>
    <r>
      <rPr>
        <b/>
        <vertAlign val="superscript"/>
        <sz val="11"/>
        <rFont val="Calibri"/>
        <family val="2"/>
      </rPr>
      <t>o</t>
    </r>
    <r>
      <rPr>
        <b/>
        <sz val="11"/>
        <rFont val="Calibri"/>
        <family val="2"/>
      </rPr>
      <t>]</t>
    </r>
  </si>
  <si>
    <t>[-]</t>
  </si>
  <si>
    <t>[m/s]</t>
  </si>
  <si>
    <t>Bijlage 06</t>
  </si>
  <si>
    <t>Bijlage 02</t>
  </si>
  <si>
    <t>Bijlage 02 (NEN 9997:2022)</t>
  </si>
  <si>
    <r>
      <t>Bijlage 02 (NEN 9997</t>
    </r>
    <r>
      <rPr>
        <sz val="11"/>
        <color rgb="FFFF0000"/>
        <rFont val="Calibri"/>
        <family val="2"/>
        <scheme val="minor"/>
      </rPr>
      <t>:2022</t>
    </r>
    <r>
      <rPr>
        <sz val="11"/>
        <rFont val="Calibri"/>
        <family val="2"/>
        <scheme val="minor"/>
      </rPr>
      <t>)</t>
    </r>
  </si>
  <si>
    <t>Bijlage 13</t>
  </si>
  <si>
    <t>Bijlage 13 - tabel 6.1</t>
  </si>
  <si>
    <t>Memo Deltares "Minimum waarde voor de ongedraineerde sterkte voor LNA"</t>
  </si>
  <si>
    <t>Eisen D.15, D.17, D.19 in Bijlage 13. Aanvullend gelden deze eisen ook voor silt.</t>
  </si>
  <si>
    <t>Tabel expertgroep en Bijlage 13 - tabel 6.2</t>
  </si>
  <si>
    <t>Tabel expertgroep</t>
  </si>
  <si>
    <t>Tabel expertgroep en Bijlage 13 - tabel 6.3</t>
  </si>
  <si>
    <t>Bijlage 24</t>
  </si>
  <si>
    <t>H_Mg_zm</t>
  </si>
  <si>
    <t>Matig fijn tot zeer grof getijdengeul­zand</t>
  </si>
  <si>
    <t>zand, siltig/kleiig, los</t>
  </si>
  <si>
    <t>G</t>
  </si>
  <si>
    <t>Matig gesorteerd matig hoekig kwartszand</t>
  </si>
  <si>
    <t>Deze eenheid komt vaak voor zonder kleilagen. In dat geval is keus "Matig gesorteerd matig hoekig kwartszand". IB dient deze keus te onderbouwen.</t>
  </si>
  <si>
    <t>-</t>
  </si>
  <si>
    <t>nee</t>
  </si>
  <si>
    <t>nee, gedraineerd</t>
  </si>
  <si>
    <t>H_Mg_zf</t>
  </si>
  <si>
    <t>Uiterst fijn tot matig fijn getijdengeul­zand</t>
  </si>
  <si>
    <t>Zand met kleilaagjes (getijdenafzettingen)</t>
  </si>
  <si>
    <t>H_Mg_zk</t>
  </si>
  <si>
    <t>Uiterst fijn tot matig fijn getijdengeul­zand met dunne klei- en silt laagjes</t>
  </si>
  <si>
    <t>H_Mp_zf</t>
  </si>
  <si>
    <t>Zandige getijdenplaat-afzettingen</t>
  </si>
  <si>
    <t>zand, los</t>
  </si>
  <si>
    <t>H_Mr_kz_z</t>
  </si>
  <si>
    <t>Getijdenrest-geulopvulling</t>
  </si>
  <si>
    <t>H_Mr_kz_k</t>
  </si>
  <si>
    <t>klei, zwak zandig, slap</t>
  </si>
  <si>
    <t>O</t>
  </si>
  <si>
    <t>Zandige klei, löss, keileem</t>
  </si>
  <si>
    <t>H_Mr_kz</t>
  </si>
  <si>
    <t>H_Mkw_z&amp;k</t>
  </si>
  <si>
    <t>Afzettingen van kleine getijdenplaat- en kweldergeulen</t>
  </si>
  <si>
    <t>H_Mp_k</t>
  </si>
  <si>
    <t>Kleiige getijdenplaat- en kwelderafzettingen</t>
  </si>
  <si>
    <t>Siltige klei</t>
  </si>
  <si>
    <t>H_Mp_ko</t>
  </si>
  <si>
    <t>Organisch rijke getijdenplaat- en kwelderafzettingen</t>
  </si>
  <si>
    <t>klei, zwak tot sterk organisch, slap</t>
  </si>
  <si>
    <t>Organische klei</t>
  </si>
  <si>
    <t>H_Ml_ko</t>
  </si>
  <si>
    <t>Lagunaire afzetting</t>
  </si>
  <si>
    <t>H_Eg_zm_z</t>
  </si>
  <si>
    <t>Matig fijn tot zeer grof estuarien getijden-geulzand</t>
  </si>
  <si>
    <t>H_Eg_zm_k</t>
  </si>
  <si>
    <t>klei, sterk zandig</t>
  </si>
  <si>
    <t>ja</t>
  </si>
  <si>
    <t>nee, volgew groter dan 17</t>
  </si>
  <si>
    <t>H_Eg_z&amp;k_k</t>
  </si>
  <si>
    <t>Uiterst fijn tot matig fijn estuarien getijden-geulzand</t>
  </si>
  <si>
    <t>H_Eg_z&amp;k_z</t>
  </si>
  <si>
    <t>H_Rg_zg</t>
  </si>
  <si>
    <t>Zeer grof tot uiterst grof rivierbeddings-zand</t>
  </si>
  <si>
    <t>zand, matig dicht</t>
  </si>
  <si>
    <t>H_Rg_zm</t>
  </si>
  <si>
    <t>Matig fijn tot zeer grof rivierbeddings-zand</t>
  </si>
  <si>
    <t>H_Rg_zf</t>
  </si>
  <si>
    <t>Uiterst fijn tot matig fijn zand rivierbeddings-zand</t>
  </si>
  <si>
    <t>H_Rr_o&amp;z_k</t>
  </si>
  <si>
    <t>Rivierrestgeul-opvulling</t>
  </si>
  <si>
    <t>H_Rr_o&amp;z</t>
  </si>
  <si>
    <t>H_Rr_o&amp;z_z</t>
  </si>
  <si>
    <t>H_Ro_z&amp;k_k</t>
  </si>
  <si>
    <t>Oever-, crevasse- en dijkdoorbraak-afzettingen</t>
  </si>
  <si>
    <t>H_Ro_z&amp;k</t>
  </si>
  <si>
    <t>H_Ro_z&amp;k_z</t>
  </si>
  <si>
    <t>H_Rk_k_k</t>
  </si>
  <si>
    <t>Hogere komafzettingen</t>
  </si>
  <si>
    <t>klei, slap</t>
  </si>
  <si>
    <t>H_Rk_k</t>
  </si>
  <si>
    <t>H_Rk_k_z</t>
  </si>
  <si>
    <t>Onwaarschijnlijk dat deze voorkomt. IB dient aan te tonen dat de keuze voor deze eenheid correct is.</t>
  </si>
  <si>
    <t>H_Rk_k&amp;v</t>
  </si>
  <si>
    <t>Lagere komafzettingen met afwisseling van klei- en veenlagen</t>
  </si>
  <si>
    <t>H_Rk_ko</t>
  </si>
  <si>
    <t>Lagere komafzettingen met organische klei</t>
  </si>
  <si>
    <t>H_Rk_vk</t>
  </si>
  <si>
    <t>Lagere komafzetting van kleiig veen</t>
  </si>
  <si>
    <t>veen, slap</t>
  </si>
  <si>
    <t>Veen</t>
  </si>
  <si>
    <t>H_Vhv_v</t>
  </si>
  <si>
    <t>Dit kan zijn mineraalarm veen, kleiige veen, gyttja</t>
  </si>
  <si>
    <t>H_Vbv_v</t>
  </si>
  <si>
    <t>Gecompacteerd veen</t>
  </si>
  <si>
    <t>P_Rbk_vk</t>
  </si>
  <si>
    <t>Lokale beekdalafzettingen van kleiig tot zandig veen</t>
  </si>
  <si>
    <t>Deze eenheid kan ondiep voorkomen, vandaar keus voor "slap". Kan elders elders steviger zijn, IB dient dat aan te tonen.</t>
  </si>
  <si>
    <t>H_Ova_zm</t>
  </si>
  <si>
    <t>Matig fijn tot zeer grof zand</t>
  </si>
  <si>
    <t>H_Ova_zf</t>
  </si>
  <si>
    <t>Uiterst fijn tot matig fijn zand</t>
  </si>
  <si>
    <t>H_Aa_z</t>
  </si>
  <si>
    <t>Aangebracht materiaal, zand baanlichaam</t>
  </si>
  <si>
    <t>Baanlichaam zand</t>
  </si>
  <si>
    <t>H_Aa_kz</t>
  </si>
  <si>
    <t>Aangebracht materiaal, klei baanlichaam</t>
  </si>
  <si>
    <t>Baanlichaam klei, zandige klei</t>
  </si>
  <si>
    <t>H_Aa_ks</t>
  </si>
  <si>
    <t>Baanlichaam klei, siltige klei</t>
  </si>
  <si>
    <t>H_Aa_ko</t>
  </si>
  <si>
    <t>Baanlichaam klei, organische klei</t>
  </si>
  <si>
    <t>H_Aa_onb</t>
  </si>
  <si>
    <t>Aangebracht materiaal, baanlichaam</t>
  </si>
  <si>
    <t>Dit is de meest conservatieve keuze. In gebieden waar vooral zand dicht onder het oppervlak ligt kiezen voor Zand, siltig/kleiig, los.</t>
  </si>
  <si>
    <t>Baanlichaam onbekend</t>
  </si>
  <si>
    <t>H_Aa_onb_k</t>
  </si>
  <si>
    <t>P_Mg_zm</t>
  </si>
  <si>
    <t>P_Mg_zk</t>
  </si>
  <si>
    <t>Uiterst fijn tot matig fijn getijdengeul­zand met dunne klei en silt laagjes</t>
  </si>
  <si>
    <t>P_Mp_k</t>
  </si>
  <si>
    <t>Eemklei bijvoorbeeld kan ondiep voorkomen, vandaar de keus voor "slap". Kan elders steviger zijn, IB dient dit aan te tonen.</t>
  </si>
  <si>
    <t>P_Rg_zg</t>
  </si>
  <si>
    <t>P_Rg_zm</t>
  </si>
  <si>
    <t>P_Rg_zf</t>
  </si>
  <si>
    <t>P_Rk_k&amp;s</t>
  </si>
  <si>
    <t>Kleiige en siltige komafzetting</t>
  </si>
  <si>
    <t>klei, matig</t>
  </si>
  <si>
    <t>Dit betreft de Laag van Wijchen. Stevige klei.</t>
  </si>
  <si>
    <t>P_Rbk_zm</t>
  </si>
  <si>
    <t>Zeer fijn tot zeer grofzandige beekafzetting</t>
  </si>
  <si>
    <t>P_Rbk_z&amp;s_z</t>
  </si>
  <si>
    <t>Heterogene beekafzetting met zand en siltlagen</t>
  </si>
  <si>
    <t>P_Rbk_z&amp;s_s</t>
  </si>
  <si>
    <t>silt, sterk zandig</t>
  </si>
  <si>
    <t>0.03*q_c;N</t>
  </si>
  <si>
    <t>0.05*q_c;N</t>
  </si>
  <si>
    <t>P_Rbk_kz</t>
  </si>
  <si>
    <t xml:space="preserve">Heterogene beekafzettingen van zandige klei </t>
  </si>
  <si>
    <t>Deze afzettingen kunnen dichtbij het oppervlak liggen, vandaar de keus voor "slap". Kan elders wel steviger zijn , IB dient dit aan te tonen.</t>
  </si>
  <si>
    <t>P_Wrd_zm</t>
  </si>
  <si>
    <t>Matig fijn tot matig grofzandige windafzetting (rivierduin)</t>
  </si>
  <si>
    <t>Goed gesorteerd kwartszand (dekzand)</t>
  </si>
  <si>
    <t>P_Wdz_zf</t>
  </si>
  <si>
    <t>Matig fijnzandige windafzetting (dekzand)</t>
  </si>
  <si>
    <t>P_Wls_s</t>
  </si>
  <si>
    <t>Siltige windafzetting (löss)</t>
  </si>
  <si>
    <t>silt, zwak zandig, slap</t>
  </si>
  <si>
    <t>0.03*qc;n</t>
  </si>
  <si>
    <t>P_Gs_zg</t>
  </si>
  <si>
    <t>Matig grof tot uiterst grof smeltwater­zand en helling­afzettingen</t>
  </si>
  <si>
    <t>P_Ggs_zg_z</t>
  </si>
  <si>
    <t>Gestuwde afzetting</t>
  </si>
  <si>
    <t>P_Ggs_zg_k</t>
  </si>
  <si>
    <t>Dit betreft opgestuwde geconsolideerde afzettingen, vandaar keus voor "matig".</t>
  </si>
  <si>
    <t>P_Gkl_kz_k</t>
  </si>
  <si>
    <t>Keileem</t>
  </si>
  <si>
    <t>klei, zwak zandig, matig</t>
  </si>
  <si>
    <t>Literatuur geeft aan dat waarden voor q_c beneden 1,5 MPa regelmatig voorkomen. Volumegewichten in de literatuur zijn hoger dan 17 kN/m3, vandaar toch de keus voor "matig".</t>
  </si>
  <si>
    <t>P_Gkl_kz_z</t>
  </si>
  <si>
    <t>zand, siltig/kleiig, matig dicht</t>
  </si>
  <si>
    <t>Dit betreft opgestuwde geconsolideerde afzettingen, vandaar keus voor "matig dicht".</t>
  </si>
  <si>
    <t>P_Om_zf</t>
  </si>
  <si>
    <t>Fijnzandige en compacte meerafzetting</t>
  </si>
  <si>
    <t>P_Om_k</t>
  </si>
  <si>
    <t>Kleiige en compacte meerafzetting (potklei)</t>
  </si>
  <si>
    <t>P_Ova_sd</t>
  </si>
  <si>
    <t>Slecht doorlatend</t>
  </si>
  <si>
    <t>Dit is de meest conservatieve keuze; de eenheid, is zeer divers.</t>
  </si>
  <si>
    <t>T_Mm_k</t>
  </si>
  <si>
    <t>Tertiaire klei (Oosterhout, Breda, Rupel etc)</t>
  </si>
  <si>
    <t>IB dient de minimum c_u aan te tonen op basis van het grondonderzoek.</t>
  </si>
  <si>
    <t>T_Mm_z</t>
  </si>
  <si>
    <t>Tertiair zand- (Oosterhout, Breda, Rupel etc.)</t>
  </si>
  <si>
    <t>IB dient de dichtheid aan te tonen op basis van het grondonderzoek. Ook dient IB aan te tonen of er sprake is van zand met een hoog gehalte glauconiet; dit is het geval als het wrijvingsgetal in de orde 4-6 % is. Het gedrag van glauconiethoudend zand dient dus ongedraineerd te worden gemodelleerd.</t>
  </si>
  <si>
    <t>T_Mm_br</t>
  </si>
  <si>
    <t>Tertiaire bruinkool (Formatie van Ville)</t>
  </si>
  <si>
    <t>Mechanische parameters zijn conservatieve waarden ontleend aan Trollope et al. (1965). Schuifgolfsnelheid is ontleend aan sondering S60G00009_00 N van Eygelshoven.</t>
  </si>
  <si>
    <t>nee, gesteente</t>
  </si>
  <si>
    <t>T_Mm_st</t>
  </si>
  <si>
    <t>Tertiaire schalie (Formatie van Rupel)</t>
  </si>
  <si>
    <t>Dinoloket boring B62B4785 bij Heerlen geeft tussen mv -0,7 en mv -20 m schalie. Deze wordt in de naburige boringen niet aangetroffen. REGIS v2.2 geeft hier de tweede zandige eenheid van de Formatie van Rupel. De ingenieursbureaus dienen na te gaan of de boorbeschrijving in boring B62B4785 correct is</t>
  </si>
  <si>
    <t>Niet van toepassing</t>
  </si>
  <si>
    <t>K_Mm_st</t>
  </si>
  <si>
    <t>Krijt vast gesteente (Vaals, Maastricht, Gulpen, Houthem)</t>
  </si>
  <si>
    <t xml:space="preserve">De sterkteparameters betreffen de grens tussen gesteente en grond. </t>
  </si>
  <si>
    <t>K_Mm_s</t>
  </si>
  <si>
    <t>Krijt groenzanden (Vaals)</t>
  </si>
  <si>
    <t>IB dient de minimum c_u aan te tonen op basis van het grondonderzoek. Ook dient IB aan te tonen of er sprake is van silt/zand met een hoog gehalte glauconiet; dit is het geval als het wrijvingsgetal in de orde 4-6 % is. Het gedrag van glauconiethoudend silt/zand dient dus ongedraineerd te worden gemodelleerd.</t>
  </si>
  <si>
    <t>Toelichting bij overige parameterbepaling</t>
  </si>
  <si>
    <t>SOS_code</t>
  </si>
  <si>
    <t>code conform bijlage 6</t>
  </si>
  <si>
    <t>SOS_info</t>
  </si>
  <si>
    <t>korte omschrijving conform bijlage 6</t>
  </si>
  <si>
    <t>NEN_info</t>
  </si>
  <si>
    <t>Corresponderende NEN tabel 2b-1 / 2b-2 classificatie</t>
  </si>
  <si>
    <t>NEN_qc</t>
  </si>
  <si>
    <t>Corresponderende qc (ingeschat obv- beschrijving in bijlage 6) gebruikt als ingang voor afleiding van Cu uit tabel 2b-1/2b-2 (volgt uiteindelijk via Deltares)</t>
  </si>
  <si>
    <t>gamma_d_low</t>
  </si>
  <si>
    <t>Laag karakteristieke waarde droog volumegewicht, afgeleid o.b.v NEN tabel 2b-1/2b-2 classificatie</t>
  </si>
  <si>
    <t>gamma_d_up</t>
  </si>
  <si>
    <t xml:space="preserve">"hoog" karakteristieke waarde droog volumegewicht, afgeleid o.b.v NEN tabel 2b-1/2b-2 classificatie. Afgeschat als een realistisch hogere waardere t.b.v. de variatieberekeningen. </t>
  </si>
  <si>
    <t>gamma_n_low</t>
  </si>
  <si>
    <t>Laag karakteristieke waarde nat volumegewicht, afgeleid o.b.v NEN tabel 2b-1/2b-2 classificatie</t>
  </si>
  <si>
    <t>gamma_n_up</t>
  </si>
  <si>
    <t xml:space="preserve">"hoog" karakteristieke waarde nat volumegewicht, afgeleid o.b.v NEN tabel 2b-1/2b-2 classificatie. Afgeschat als een realistisch hogere waardere t.b.v. de variatieberekeningen. </t>
  </si>
  <si>
    <t>c_eff</t>
  </si>
  <si>
    <t>Effectieve cohesie, conform bijlage 13 voor alle lagen 0</t>
  </si>
  <si>
    <t>phi_eff_low</t>
  </si>
  <si>
    <t>Laag karakteristieke waarde van de effectieve wrijgingshoek conform bijlage 13 en toegekende kleurarcering</t>
  </si>
  <si>
    <t>phi_eff_up</t>
  </si>
  <si>
    <t>verwachtingswaarde van  de effectieve wrijvingshoek, conform bijlage 13 en toegekende kleurarcering, realistische waarde t.b.v. variatieberekening</t>
  </si>
  <si>
    <t>cu_low</t>
  </si>
  <si>
    <t>Laag karakteristieke waarde van de ongedraineerde schuifsterkte, afgeleid o.b.v NEN tabel 2b-1/2b-2 (volgt uiteindelijk via Deltares)</t>
  </si>
  <si>
    <t>cu_up</t>
  </si>
  <si>
    <t>"hoog" karakteristieke waarde van de ongedraineerde schuifsterkte, afgeleid o.b.v NEN tabel 2b-1/2b-2 (volgt uiteindelijk via Deltares), realistische waarde t.b.v. variatieberekening</t>
  </si>
  <si>
    <t>S_low</t>
  </si>
  <si>
    <t>Laag karakteristieke waarde van S conform bijlage 13</t>
  </si>
  <si>
    <t>S_up</t>
  </si>
  <si>
    <t>verwachtingswaarde van S conform bijlage 13</t>
  </si>
  <si>
    <t>POP_low</t>
  </si>
  <si>
    <t>laag karakteristieke waarde van POP conform bijlage 13, toegepaste waarde hangt af van de diepte van de desbetreffende laag.</t>
  </si>
  <si>
    <t>POP_up</t>
  </si>
  <si>
    <t>verwachtingswaarde van POP conform bijlage 13, toegepaste waarde hangt af van de diepte van de desbetreffende laag.</t>
  </si>
  <si>
    <t>Vs_low</t>
  </si>
  <si>
    <t>minimale schuifgolfsnelheid o.b.v. bijlage 24</t>
  </si>
  <si>
    <t>Vs_up</t>
  </si>
  <si>
    <t>maximale schuifgolfsnelheid o.b.v. bijlage 24</t>
  </si>
  <si>
    <t>γn [kN/m3]</t>
  </si>
  <si>
    <t>mu_ln(X)</t>
  </si>
  <si>
    <t>tabelkolom</t>
  </si>
  <si>
    <t>mean</t>
  </si>
  <si>
    <t>st.dev</t>
  </si>
  <si>
    <t>CoV</t>
  </si>
  <si>
    <t>scipy.stats</t>
  </si>
  <si>
    <t>γd [kN/m3]</t>
  </si>
  <si>
    <t>mu_lnX</t>
  </si>
  <si>
    <t>phi [kN/m3]</t>
  </si>
  <si>
    <t>S [kN/m3]</t>
  </si>
  <si>
    <t>m [kN/m3]</t>
  </si>
  <si>
    <t>POP [kN/m3]</t>
  </si>
  <si>
    <t>vs [kN/m3]</t>
  </si>
  <si>
    <t>color legend:</t>
  </si>
  <si>
    <t>copied from tabel</t>
  </si>
  <si>
    <t>back-calculated</t>
  </si>
  <si>
    <t>Su_min / cu_min [kPa]</t>
  </si>
  <si>
    <t>manual</t>
  </si>
  <si>
    <t>median (=scale)</t>
  </si>
  <si>
    <t>sig_ln(X) (=s)</t>
  </si>
  <si>
    <t>Stochastic parameters for log-normal disributions back-calculated from Tabel</t>
  </si>
  <si>
    <t>char_low (= 5%)</t>
  </si>
  <si>
    <t>char_high (= 95%)</t>
  </si>
  <si>
    <t>gamma_dry_char_low</t>
  </si>
  <si>
    <t>gamma_dry_char_high</t>
  </si>
  <si>
    <t>gamma_dry_median</t>
  </si>
  <si>
    <t>gamma_dry_mean</t>
  </si>
  <si>
    <t>gamma_dry_std</t>
  </si>
  <si>
    <t>gamma_dry_cov</t>
  </si>
  <si>
    <t>gamma_wet_char_low</t>
  </si>
  <si>
    <t>gamma_wet_char_high</t>
  </si>
  <si>
    <t>gamma_wet_median</t>
  </si>
  <si>
    <t>gamma_wet_mean</t>
  </si>
  <si>
    <t>gamma_wet_std</t>
  </si>
  <si>
    <t>gamma_wet_cov</t>
  </si>
  <si>
    <t>phi_char_low</t>
  </si>
  <si>
    <t>phi_char_high</t>
  </si>
  <si>
    <t>phi_median</t>
  </si>
  <si>
    <t>phi_mean</t>
  </si>
  <si>
    <t>phi_std</t>
  </si>
  <si>
    <t>phi_cov</t>
  </si>
  <si>
    <t>S_char_low</t>
  </si>
  <si>
    <t>S_char_high</t>
  </si>
  <si>
    <t>S_median</t>
  </si>
  <si>
    <t>S_mean</t>
  </si>
  <si>
    <t>S_std</t>
  </si>
  <si>
    <t>S_cov</t>
  </si>
  <si>
    <t>m_char_low</t>
  </si>
  <si>
    <t>m_char_high</t>
  </si>
  <si>
    <t>m_median</t>
  </si>
  <si>
    <t>m_mean</t>
  </si>
  <si>
    <t>m_std</t>
  </si>
  <si>
    <t>m_cov</t>
  </si>
  <si>
    <t>POP_char_low</t>
  </si>
  <si>
    <t>POP_char_high</t>
  </si>
  <si>
    <t>POP_median</t>
  </si>
  <si>
    <t>POP_mean</t>
  </si>
  <si>
    <t>POP_std</t>
  </si>
  <si>
    <t>POP_cov</t>
  </si>
  <si>
    <t>X</t>
  </si>
  <si>
    <t>Sumin_char_low</t>
  </si>
  <si>
    <t>Sumin_char_high</t>
  </si>
  <si>
    <t>Sumin_median</t>
  </si>
  <si>
    <t>Sumin_mean</t>
  </si>
  <si>
    <t>Sumin_std</t>
  </si>
  <si>
    <t>Sumin_cov</t>
  </si>
  <si>
    <t>vs_char_low</t>
  </si>
  <si>
    <t>vs_char_high</t>
  </si>
  <si>
    <t>vs_median</t>
  </si>
  <si>
    <t>vs_mean</t>
  </si>
  <si>
    <t>vs_std</t>
  </si>
  <si>
    <t>vs_cov</t>
  </si>
  <si>
    <t>gamma_dry_mu</t>
  </si>
  <si>
    <t>gamma_wet_mu</t>
  </si>
  <si>
    <t>phi_mu</t>
  </si>
  <si>
    <t>S_mu</t>
  </si>
  <si>
    <t>m_mu</t>
  </si>
  <si>
    <t>POP_mu</t>
  </si>
  <si>
    <t>Sumin_mu</t>
  </si>
  <si>
    <t>vs_mu</t>
  </si>
  <si>
    <t>gamma_dry_sig</t>
  </si>
  <si>
    <t>gamma_wet_sig</t>
  </si>
  <si>
    <t>phi_sig</t>
  </si>
  <si>
    <t>S_sig</t>
  </si>
  <si>
    <t>m_sig</t>
  </si>
  <si>
    <t>POP_sig</t>
  </si>
  <si>
    <t>Sumin_sig</t>
  </si>
  <si>
    <t>vs_sig</t>
  </si>
  <si>
    <t>Code</t>
  </si>
  <si>
    <t>empty</t>
  </si>
  <si>
    <t>based on</t>
  </si>
  <si>
    <t>based on equivalent code</t>
  </si>
  <si>
    <t>example_1</t>
  </si>
  <si>
    <t xml:space="preserve">Additional SOS codes: </t>
  </si>
  <si>
    <t>equivalent base</t>
  </si>
  <si>
    <t>code</t>
  </si>
  <si>
    <t>H_Aa_onb_z</t>
  </si>
  <si>
    <t>color</t>
  </si>
  <si>
    <t>LNA-based colorscale</t>
  </si>
  <si>
    <t>R</t>
  </si>
  <si>
    <t>B</t>
  </si>
  <si>
    <t>A</t>
  </si>
  <si>
    <t>#00000000</t>
  </si>
  <si>
    <t>shading</t>
  </si>
  <si>
    <t>undrained</t>
  </si>
  <si>
    <t>drained</t>
  </si>
  <si>
    <t>gamma_a</t>
  </si>
  <si>
    <t>gamma_b</t>
  </si>
  <si>
    <t>phi</t>
  </si>
  <si>
    <t>gamma</t>
  </si>
  <si>
    <t>s</t>
  </si>
  <si>
    <t>m</t>
  </si>
  <si>
    <t>pop</t>
  </si>
  <si>
    <t>su_min</t>
  </si>
  <si>
    <t>SOS code</t>
  </si>
  <si>
    <t>CPT</t>
  </si>
  <si>
    <t>TABLE</t>
  </si>
  <si>
    <t>SILTY_CLAY</t>
  </si>
  <si>
    <t>CLAY_ORGANIC</t>
  </si>
  <si>
    <t>CLAY</t>
  </si>
  <si>
    <t>FIBROUS_PEAT</t>
  </si>
  <si>
    <t>EMBANKMENT_SAND</t>
  </si>
  <si>
    <t>EMBANKMENT_CLAY</t>
  </si>
  <si>
    <t>UNKNOWN</t>
  </si>
  <si>
    <t>mapping</t>
  </si>
  <si>
    <t>???</t>
  </si>
  <si>
    <t>THIS TABLE IS LIKELY WRONG</t>
  </si>
  <si>
    <t>H_Mkw_z_k</t>
  </si>
  <si>
    <t>H_Rk_k_v</t>
  </si>
  <si>
    <t>H_Ro_z_k_z</t>
  </si>
  <si>
    <t>H_Ro_z_k_k</t>
  </si>
  <si>
    <t>H_Rr_o_z_z</t>
  </si>
  <si>
    <t>H_Rr_o_z_k</t>
  </si>
  <si>
    <t>P_Rk_k_s</t>
  </si>
  <si>
    <t>P_Rbk_z_s_z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</si>
</sst>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b/>
      <sz val="11"/>
      <name val="Calibri"/>
      <family val="2"/>
    </font>
    <font>
      <b/>
      <u/>
      <sz val="11"/>
      <color theme="1"/>
      <name val="Calibri"/>
      <family val="2"/>
      <scheme val="minor"/>
    </font>
    <font>
      <b/>
      <u/>
      <sz val="11"/>
      <name val="Calibri"/>
      <family val="2"/>
      <scheme val="minor"/>
    </font>
    <font>
      <b/>
      <vertAlign val="superscript"/>
      <sz val="11"/>
      <name val="Calibri"/>
      <family val="2"/>
    </font>
    <font>
      <i/>
      <sz val="11"/>
      <color theme="0" tint="-0.499984740745262"/>
      <name val="Calibri"/>
      <family val="2"/>
      <scheme val="minor"/>
    </font>
    <font>
      <sz val="8"/>
      <name val="Calibri"/>
      <family val="2"/>
      <scheme val="minor"/>
    </font>
    <font>
      <b/>
      <sz val="11"/>
      <color rgb="FFFF0000"/>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00FF00"/>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FF00"/>
        <bgColor indexed="64"/>
      </patternFill>
    </fill>
    <fill>
      <patternFill patternType="solid">
        <fgColor theme="4" tint="0.79998168889431442"/>
        <bgColor indexed="64"/>
      </patternFill>
    </fill>
  </fills>
  <borders count="42">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theme="0" tint="-0.14996795556505021"/>
      </bottom>
      <diagonal/>
    </border>
    <border>
      <left style="thin">
        <color indexed="64"/>
      </left>
      <right style="medium">
        <color indexed="64"/>
      </right>
      <top style="medium">
        <color indexed="64"/>
      </top>
      <bottom style="thin">
        <color theme="0" tint="-0.14996795556505021"/>
      </bottom>
      <diagonal/>
    </border>
    <border>
      <left style="thin">
        <color indexed="64"/>
      </left>
      <right style="thin">
        <color indexed="64"/>
      </right>
      <top style="medium">
        <color indexed="64"/>
      </top>
      <bottom style="thin">
        <color theme="0" tint="-0.14996795556505021"/>
      </bottom>
      <diagonal/>
    </border>
    <border>
      <left/>
      <right/>
      <top style="medium">
        <color indexed="64"/>
      </top>
      <bottom/>
      <diagonal/>
    </border>
    <border>
      <left style="medium">
        <color indexed="64"/>
      </left>
      <right style="thin">
        <color indexed="64"/>
      </right>
      <top style="thin">
        <color theme="0" tint="-0.14996795556505021"/>
      </top>
      <bottom style="thin">
        <color theme="0" tint="-0.14996795556505021"/>
      </bottom>
      <diagonal/>
    </border>
    <border>
      <left style="thin">
        <color indexed="64"/>
      </left>
      <right style="medium">
        <color indexed="64"/>
      </right>
      <top style="thin">
        <color theme="0" tint="-0.14996795556505021"/>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medium">
        <color indexed="64"/>
      </left>
      <right style="thin">
        <color indexed="64"/>
      </right>
      <top style="thin">
        <color theme="0" tint="-0.14996795556505021"/>
      </top>
      <bottom/>
      <diagonal/>
    </border>
    <border>
      <left style="thin">
        <color indexed="64"/>
      </left>
      <right style="medium">
        <color indexed="64"/>
      </right>
      <top style="thin">
        <color theme="0" tint="-0.14996795556505021"/>
      </top>
      <bottom/>
      <diagonal/>
    </border>
    <border>
      <left style="thin">
        <color indexed="64"/>
      </left>
      <right style="thin">
        <color indexed="64"/>
      </right>
      <top style="thin">
        <color theme="0" tint="-0.14996795556505021"/>
      </top>
      <bottom/>
      <diagonal/>
    </border>
    <border>
      <left style="thin">
        <color indexed="64"/>
      </left>
      <right/>
      <top style="thin">
        <color theme="0" tint="-0.14996795556505021"/>
      </top>
      <bottom style="thin">
        <color theme="0" tint="-0.14996795556505021"/>
      </bottom>
      <diagonal/>
    </border>
    <border>
      <left style="medium">
        <color indexed="64"/>
      </left>
      <right style="thin">
        <color indexed="64"/>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medium">
        <color indexed="64"/>
      </left>
      <right/>
      <top style="medium">
        <color indexed="64"/>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62">
    <xf numFmtId="0" fontId="0" fillId="0" borderId="0" xfId="0"/>
    <xf numFmtId="0" fontId="0" fillId="2" borderId="1" xfId="0" applyFill="1" applyBorder="1" applyAlignment="1">
      <alignment horizontal="center" vertical="top" wrapText="1"/>
    </xf>
    <xf numFmtId="0" fontId="0" fillId="0" borderId="1" xfId="0" applyBorder="1" applyAlignment="1">
      <alignment vertical="top"/>
    </xf>
    <xf numFmtId="0" fontId="0" fillId="0" borderId="1" xfId="0" applyBorder="1" applyAlignment="1">
      <alignment horizontal="center" vertical="top"/>
    </xf>
    <xf numFmtId="164" fontId="0" fillId="0" borderId="1" xfId="0" applyNumberFormat="1"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left" vertical="top" wrapText="1"/>
    </xf>
    <xf numFmtId="0" fontId="3" fillId="2" borderId="1" xfId="0" applyFont="1" applyFill="1" applyBorder="1" applyAlignment="1">
      <alignment horizontal="center" vertical="top" wrapText="1"/>
    </xf>
    <xf numFmtId="0" fontId="0" fillId="0" borderId="0" xfId="0" applyAlignment="1">
      <alignment horizontal="center" vertical="top" wrapText="1"/>
    </xf>
    <xf numFmtId="165" fontId="0" fillId="2" borderId="1" xfId="0" applyNumberFormat="1" applyFill="1" applyBorder="1" applyAlignment="1">
      <alignment horizontal="center" vertical="top" wrapText="1"/>
    </xf>
    <xf numFmtId="2" fontId="0" fillId="2" borderId="1" xfId="0" applyNumberFormat="1" applyFill="1" applyBorder="1" applyAlignment="1">
      <alignment horizontal="center" vertical="top" wrapText="1"/>
    </xf>
    <xf numFmtId="165" fontId="0" fillId="0" borderId="1" xfId="0" applyNumberFormat="1" applyBorder="1" applyAlignment="1">
      <alignment horizontal="center" vertical="top"/>
    </xf>
    <xf numFmtId="164" fontId="0" fillId="0" borderId="1" xfId="0" applyNumberFormat="1" applyBorder="1" applyAlignment="1">
      <alignment horizontal="center" vertical="top" wrapText="1"/>
    </xf>
    <xf numFmtId="1" fontId="0" fillId="0" borderId="1" xfId="0" applyNumberFormat="1" applyBorder="1" applyAlignment="1">
      <alignment horizontal="center" vertical="top"/>
    </xf>
    <xf numFmtId="0" fontId="0" fillId="0" borderId="0" xfId="0" applyAlignment="1">
      <alignment vertical="top"/>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4" fillId="0" borderId="2" xfId="0" applyFont="1" applyBorder="1" applyAlignment="1">
      <alignment horizontal="center" vertical="top" wrapText="1"/>
    </xf>
    <xf numFmtId="0" fontId="4" fillId="0" borderId="4" xfId="0" applyFont="1" applyBorder="1" applyAlignment="1">
      <alignment horizontal="center" vertical="top" wrapText="1"/>
    </xf>
    <xf numFmtId="164" fontId="4" fillId="0" borderId="4" xfId="0" applyNumberFormat="1" applyFont="1" applyBorder="1" applyAlignment="1">
      <alignment horizontal="center" vertical="top" wrapText="1"/>
    </xf>
    <xf numFmtId="0" fontId="5" fillId="0" borderId="4" xfId="0" applyFont="1" applyBorder="1" applyAlignment="1">
      <alignment horizontal="center" vertical="top" wrapText="1"/>
    </xf>
    <xf numFmtId="0" fontId="4" fillId="0" borderId="4" xfId="0" applyFont="1" applyBorder="1" applyAlignment="1">
      <alignment horizontal="left" vertical="top" wrapText="1"/>
    </xf>
    <xf numFmtId="0" fontId="4" fillId="3" borderId="0" xfId="0" applyFont="1" applyFill="1" applyAlignment="1">
      <alignment horizontal="center" vertical="top" wrapText="1"/>
    </xf>
    <xf numFmtId="165" fontId="4" fillId="3" borderId="4" xfId="0" applyNumberFormat="1" applyFont="1" applyFill="1" applyBorder="1" applyAlignment="1">
      <alignment horizontal="center" vertical="top" wrapText="1"/>
    </xf>
    <xf numFmtId="0" fontId="4" fillId="3" borderId="4" xfId="0" applyFont="1" applyFill="1" applyBorder="1" applyAlignment="1">
      <alignment horizontal="center" vertical="top" wrapText="1"/>
    </xf>
    <xf numFmtId="164" fontId="4" fillId="3" borderId="4" xfId="0" applyNumberFormat="1" applyFont="1" applyFill="1" applyBorder="1" applyAlignment="1">
      <alignment horizontal="center" vertical="top" wrapText="1"/>
    </xf>
    <xf numFmtId="1" fontId="4" fillId="0" borderId="3" xfId="0" applyNumberFormat="1" applyFont="1" applyBorder="1" applyAlignment="1">
      <alignment horizontal="center" vertical="top" wrapText="1"/>
    </xf>
    <xf numFmtId="0" fontId="0" fillId="0" borderId="0" xfId="0" applyAlignment="1">
      <alignment vertical="top" wrapText="1"/>
    </xf>
    <xf numFmtId="0" fontId="6" fillId="0" borderId="5" xfId="0" applyFont="1" applyBorder="1" applyAlignment="1">
      <alignment horizontal="center" vertical="top" wrapText="1"/>
    </xf>
    <xf numFmtId="0" fontId="6" fillId="0" borderId="6" xfId="0" applyFont="1" applyBorder="1" applyAlignment="1">
      <alignment horizontal="center" vertical="top" wrapText="1"/>
    </xf>
    <xf numFmtId="0" fontId="7" fillId="0" borderId="5" xfId="0" applyFont="1" applyBorder="1" applyAlignment="1">
      <alignment horizontal="center" vertical="top" wrapText="1"/>
    </xf>
    <xf numFmtId="0" fontId="7" fillId="0" borderId="7" xfId="0" applyFont="1" applyBorder="1" applyAlignment="1">
      <alignment horizontal="center" vertical="top" wrapText="1"/>
    </xf>
    <xf numFmtId="164" fontId="4" fillId="0" borderId="7" xfId="0" applyNumberFormat="1" applyFont="1" applyBorder="1" applyAlignment="1">
      <alignment horizontal="center" vertical="top" wrapText="1"/>
    </xf>
    <xf numFmtId="0" fontId="4" fillId="0" borderId="7" xfId="0" applyFont="1" applyBorder="1" applyAlignment="1">
      <alignment horizontal="center" vertical="top" wrapText="1"/>
    </xf>
    <xf numFmtId="0" fontId="5" fillId="0" borderId="7" xfId="0" applyFont="1" applyBorder="1" applyAlignment="1">
      <alignment horizontal="center" vertical="top" wrapText="1"/>
    </xf>
    <xf numFmtId="0" fontId="4" fillId="0" borderId="7" xfId="0" applyFont="1" applyBorder="1" applyAlignment="1">
      <alignment horizontal="left" vertical="top" wrapText="1"/>
    </xf>
    <xf numFmtId="0" fontId="7" fillId="3" borderId="0" xfId="0" applyFont="1" applyFill="1" applyAlignment="1">
      <alignment horizontal="center" vertical="top" wrapText="1"/>
    </xf>
    <xf numFmtId="165" fontId="4" fillId="3" borderId="7" xfId="0" applyNumberFormat="1" applyFont="1" applyFill="1" applyBorder="1" applyAlignment="1">
      <alignment horizontal="center" vertical="top" wrapText="1"/>
    </xf>
    <xf numFmtId="0" fontId="4" fillId="3" borderId="7" xfId="0" applyFont="1" applyFill="1" applyBorder="1" applyAlignment="1">
      <alignment horizontal="center" vertical="top" wrapText="1"/>
    </xf>
    <xf numFmtId="164" fontId="4" fillId="3" borderId="7" xfId="0" applyNumberFormat="1" applyFont="1" applyFill="1" applyBorder="1" applyAlignment="1">
      <alignment horizontal="center" vertical="top" wrapText="1"/>
    </xf>
    <xf numFmtId="1" fontId="4" fillId="0" borderId="6" xfId="0" applyNumberFormat="1" applyFont="1" applyBorder="1" applyAlignment="1">
      <alignment horizontal="center" vertical="top" wrapText="1"/>
    </xf>
    <xf numFmtId="0" fontId="3" fillId="0" borderId="8" xfId="0" applyFont="1" applyBorder="1" applyAlignment="1">
      <alignment horizontal="center" vertical="top" wrapText="1"/>
    </xf>
    <xf numFmtId="0" fontId="3" fillId="0" borderId="9" xfId="0" applyFont="1" applyBorder="1" applyAlignment="1">
      <alignment horizontal="center" vertical="top"/>
    </xf>
    <xf numFmtId="0" fontId="3" fillId="0" borderId="8" xfId="0" applyFont="1" applyBorder="1" applyAlignment="1">
      <alignment horizontal="center" vertical="top"/>
    </xf>
    <xf numFmtId="0" fontId="3" fillId="0" borderId="10" xfId="0" applyFont="1" applyBorder="1" applyAlignment="1">
      <alignment horizontal="center" vertical="top" wrapText="1"/>
    </xf>
    <xf numFmtId="164" fontId="3" fillId="0" borderId="10" xfId="0" applyNumberFormat="1" applyFont="1" applyBorder="1" applyAlignment="1">
      <alignment horizontal="center" vertical="top" wrapText="1"/>
    </xf>
    <xf numFmtId="0" fontId="3" fillId="0" borderId="10" xfId="0" applyFont="1" applyBorder="1" applyAlignment="1">
      <alignment horizontal="center" vertical="top"/>
    </xf>
    <xf numFmtId="0" fontId="3" fillId="0" borderId="10" xfId="0" applyFont="1" applyBorder="1" applyAlignment="1">
      <alignment horizontal="left" vertical="top" wrapText="1"/>
    </xf>
    <xf numFmtId="0" fontId="0" fillId="3" borderId="11" xfId="0" applyFill="1" applyBorder="1" applyAlignment="1">
      <alignment horizontal="center" vertical="top" wrapText="1"/>
    </xf>
    <xf numFmtId="165" fontId="3" fillId="3" borderId="10" xfId="0" applyNumberFormat="1" applyFont="1" applyFill="1" applyBorder="1" applyAlignment="1">
      <alignment horizontal="center" vertical="top" wrapText="1"/>
    </xf>
    <xf numFmtId="164" fontId="3" fillId="3" borderId="10" xfId="0" applyNumberFormat="1" applyFont="1" applyFill="1" applyBorder="1" applyAlignment="1">
      <alignment horizontal="center" vertical="top" wrapText="1"/>
    </xf>
    <xf numFmtId="1" fontId="3" fillId="0" borderId="9" xfId="0" applyNumberFormat="1" applyFont="1" applyBorder="1" applyAlignment="1">
      <alignment horizontal="center" vertical="top" wrapText="1"/>
    </xf>
    <xf numFmtId="0" fontId="3" fillId="0" borderId="12" xfId="0" applyFont="1" applyBorder="1" applyAlignment="1">
      <alignment vertical="top"/>
    </xf>
    <xf numFmtId="0" fontId="0" fillId="0" borderId="13" xfId="0" applyBorder="1" applyAlignment="1">
      <alignment vertical="top"/>
    </xf>
    <xf numFmtId="0" fontId="3" fillId="0" borderId="14" xfId="0" applyFont="1" applyBorder="1" applyAlignment="1">
      <alignment vertical="top" wrapText="1"/>
    </xf>
    <xf numFmtId="164" fontId="3" fillId="0" borderId="14" xfId="0" applyNumberFormat="1" applyFont="1" applyBorder="1" applyAlignment="1">
      <alignment horizontal="center" vertical="top"/>
    </xf>
    <xf numFmtId="0" fontId="3" fillId="0" borderId="14" xfId="0" applyFont="1" applyBorder="1" applyAlignment="1">
      <alignment horizontal="center" vertical="top"/>
    </xf>
    <xf numFmtId="0" fontId="3" fillId="0" borderId="14" xfId="0" applyFont="1" applyBorder="1" applyAlignment="1">
      <alignment horizontal="left" vertical="top" wrapText="1"/>
    </xf>
    <xf numFmtId="1" fontId="3" fillId="0" borderId="14" xfId="0" applyNumberFormat="1" applyFont="1" applyBorder="1" applyAlignment="1">
      <alignment horizontal="center" vertical="top"/>
    </xf>
    <xf numFmtId="0" fontId="3" fillId="3" borderId="15" xfId="0" applyFont="1" applyFill="1" applyBorder="1" applyAlignment="1">
      <alignment horizontal="center" vertical="top" wrapText="1"/>
    </xf>
    <xf numFmtId="165" fontId="3" fillId="0" borderId="14" xfId="0" applyNumberFormat="1" applyFont="1" applyBorder="1" applyAlignment="1">
      <alignment horizontal="center" vertical="top"/>
    </xf>
    <xf numFmtId="1" fontId="3" fillId="0" borderId="13" xfId="0" applyNumberFormat="1" applyFont="1" applyBorder="1" applyAlignment="1">
      <alignment horizontal="center" vertical="top"/>
    </xf>
    <xf numFmtId="0" fontId="3" fillId="0" borderId="16" xfId="0" applyFont="1" applyBorder="1" applyAlignment="1">
      <alignment vertical="top"/>
    </xf>
    <xf numFmtId="0" fontId="0" fillId="0" borderId="17" xfId="0" applyBorder="1" applyAlignment="1">
      <alignment vertical="top"/>
    </xf>
    <xf numFmtId="0" fontId="3" fillId="0" borderId="18" xfId="0" applyFont="1" applyBorder="1" applyAlignment="1">
      <alignment vertical="top" wrapText="1"/>
    </xf>
    <xf numFmtId="164" fontId="3" fillId="0" borderId="18" xfId="0" applyNumberFormat="1" applyFont="1" applyBorder="1" applyAlignment="1">
      <alignment horizontal="center" vertical="top"/>
    </xf>
    <xf numFmtId="0" fontId="3" fillId="0" borderId="18" xfId="0" applyFont="1" applyBorder="1" applyAlignment="1">
      <alignment horizontal="center" vertical="top"/>
    </xf>
    <xf numFmtId="0" fontId="3" fillId="0" borderId="18" xfId="0" applyFont="1" applyBorder="1" applyAlignment="1">
      <alignment horizontal="left" vertical="top" wrapText="1"/>
    </xf>
    <xf numFmtId="1" fontId="3" fillId="0" borderId="18" xfId="0" applyNumberFormat="1" applyFont="1" applyBorder="1" applyAlignment="1">
      <alignment horizontal="center" vertical="top"/>
    </xf>
    <xf numFmtId="0" fontId="3" fillId="3" borderId="0" xfId="0" applyFont="1" applyFill="1" applyAlignment="1">
      <alignment horizontal="center" vertical="top" wrapText="1"/>
    </xf>
    <xf numFmtId="165" fontId="3" fillId="0" borderId="18" xfId="0" applyNumberFormat="1" applyFont="1" applyBorder="1" applyAlignment="1">
      <alignment horizontal="center" vertical="top"/>
    </xf>
    <xf numFmtId="1" fontId="3" fillId="0" borderId="17" xfId="0" applyNumberFormat="1" applyFont="1" applyBorder="1" applyAlignment="1">
      <alignment horizontal="center" vertical="top"/>
    </xf>
    <xf numFmtId="0" fontId="0" fillId="3" borderId="0" xfId="0" applyFill="1" applyAlignment="1">
      <alignment horizontal="center" vertical="top" wrapText="1"/>
    </xf>
    <xf numFmtId="165" fontId="3" fillId="3" borderId="18" xfId="0" applyNumberFormat="1" applyFont="1" applyFill="1" applyBorder="1" applyAlignment="1">
      <alignment horizontal="center" vertical="top"/>
    </xf>
    <xf numFmtId="164" fontId="3" fillId="3" borderId="18" xfId="0" applyNumberFormat="1" applyFont="1" applyFill="1" applyBorder="1" applyAlignment="1">
      <alignment horizontal="center" vertical="top"/>
    </xf>
    <xf numFmtId="0" fontId="3" fillId="3" borderId="18" xfId="0" applyFont="1" applyFill="1" applyBorder="1" applyAlignment="1">
      <alignment vertical="top" wrapText="1"/>
    </xf>
    <xf numFmtId="0" fontId="3" fillId="4" borderId="18" xfId="0" applyFont="1" applyFill="1" applyBorder="1" applyAlignment="1">
      <alignment horizontal="center" vertical="top"/>
    </xf>
    <xf numFmtId="0" fontId="3" fillId="0" borderId="19" xfId="0" applyFont="1" applyBorder="1" applyAlignment="1">
      <alignment vertical="top"/>
    </xf>
    <xf numFmtId="0" fontId="0" fillId="0" borderId="20" xfId="0" applyBorder="1" applyAlignment="1">
      <alignment vertical="top"/>
    </xf>
    <xf numFmtId="0" fontId="3" fillId="0" borderId="21" xfId="0" applyFont="1" applyBorder="1" applyAlignment="1">
      <alignment vertical="top" wrapText="1"/>
    </xf>
    <xf numFmtId="164" fontId="3" fillId="0" borderId="21" xfId="0" applyNumberFormat="1" applyFont="1" applyBorder="1" applyAlignment="1">
      <alignment horizontal="center" vertical="top"/>
    </xf>
    <xf numFmtId="0" fontId="3" fillId="0" borderId="21" xfId="0" applyFont="1" applyBorder="1" applyAlignment="1">
      <alignment horizontal="center" vertical="top"/>
    </xf>
    <xf numFmtId="0" fontId="3" fillId="4" borderId="21" xfId="0" applyFont="1" applyFill="1" applyBorder="1" applyAlignment="1">
      <alignment horizontal="center" vertical="top"/>
    </xf>
    <xf numFmtId="0" fontId="3" fillId="0" borderId="21" xfId="0" applyFont="1" applyBorder="1" applyAlignment="1">
      <alignment horizontal="left" vertical="top" wrapText="1"/>
    </xf>
    <xf numFmtId="1" fontId="3" fillId="0" borderId="21" xfId="0" applyNumberFormat="1" applyFont="1" applyBorder="1" applyAlignment="1">
      <alignment horizontal="center" vertical="top"/>
    </xf>
    <xf numFmtId="165" fontId="3" fillId="0" borderId="21" xfId="0" applyNumberFormat="1" applyFont="1" applyBorder="1" applyAlignment="1">
      <alignment horizontal="center" vertical="top"/>
    </xf>
    <xf numFmtId="1" fontId="3" fillId="0" borderId="20" xfId="0" applyNumberFormat="1" applyFont="1" applyBorder="1" applyAlignment="1">
      <alignment horizontal="center" vertical="top"/>
    </xf>
    <xf numFmtId="0" fontId="3" fillId="4" borderId="22" xfId="0" applyFont="1" applyFill="1" applyBorder="1" applyAlignment="1">
      <alignment horizontal="center" vertical="top" wrapText="1"/>
    </xf>
    <xf numFmtId="165" fontId="3" fillId="4" borderId="22" xfId="0" applyNumberFormat="1" applyFont="1" applyFill="1" applyBorder="1" applyAlignment="1">
      <alignment horizontal="center" vertical="top" wrapText="1"/>
    </xf>
    <xf numFmtId="164" fontId="3" fillId="4" borderId="22" xfId="0" applyNumberFormat="1" applyFont="1" applyFill="1" applyBorder="1" applyAlignment="1">
      <alignment horizontal="center" vertical="top" wrapText="1"/>
    </xf>
    <xf numFmtId="0" fontId="3" fillId="4" borderId="17" xfId="0" applyFont="1" applyFill="1" applyBorder="1" applyAlignment="1">
      <alignment horizontal="center" vertical="top" wrapText="1"/>
    </xf>
    <xf numFmtId="0" fontId="3" fillId="0" borderId="23" xfId="0" applyFont="1" applyBorder="1" applyAlignment="1">
      <alignment vertical="top"/>
    </xf>
    <xf numFmtId="0" fontId="0" fillId="0" borderId="24" xfId="0" applyBorder="1" applyAlignment="1">
      <alignment vertical="top"/>
    </xf>
    <xf numFmtId="0" fontId="3" fillId="0" borderId="25" xfId="0" applyFont="1" applyBorder="1" applyAlignment="1">
      <alignment vertical="top" wrapText="1"/>
    </xf>
    <xf numFmtId="164" fontId="3" fillId="0" borderId="25" xfId="0" applyNumberFormat="1" applyFont="1" applyBorder="1" applyAlignment="1">
      <alignment horizontal="center" vertical="top"/>
    </xf>
    <xf numFmtId="0" fontId="3" fillId="0" borderId="25" xfId="0" applyFont="1" applyBorder="1" applyAlignment="1">
      <alignment horizontal="center" vertical="top"/>
    </xf>
    <xf numFmtId="0" fontId="3" fillId="0" borderId="25" xfId="0" applyFont="1" applyBorder="1" applyAlignment="1">
      <alignment horizontal="left" vertical="top" wrapText="1"/>
    </xf>
    <xf numFmtId="1" fontId="3" fillId="0" borderId="25" xfId="0" applyNumberFormat="1" applyFont="1" applyBorder="1" applyAlignment="1">
      <alignment horizontal="center" vertical="top"/>
    </xf>
    <xf numFmtId="165" fontId="3" fillId="0" borderId="25" xfId="0" applyNumberFormat="1" applyFont="1" applyBorder="1" applyAlignment="1">
      <alignment horizontal="center" vertical="top"/>
    </xf>
    <xf numFmtId="1" fontId="3" fillId="0" borderId="24" xfId="0" applyNumberFormat="1" applyFont="1" applyBorder="1" applyAlignment="1">
      <alignment horizontal="center" vertical="top"/>
    </xf>
    <xf numFmtId="164" fontId="0" fillId="0" borderId="0" xfId="0" applyNumberFormat="1" applyAlignment="1">
      <alignment horizontal="center" vertical="top"/>
    </xf>
    <xf numFmtId="0" fontId="0" fillId="0" borderId="0" xfId="0" applyAlignment="1">
      <alignment horizontal="center" vertical="top"/>
    </xf>
    <xf numFmtId="0" fontId="3" fillId="0" borderId="0" xfId="0" applyFont="1" applyAlignment="1">
      <alignment horizontal="center" vertical="top"/>
    </xf>
    <xf numFmtId="0" fontId="9" fillId="0" borderId="0" xfId="0" applyFont="1" applyAlignment="1">
      <alignment horizontal="center" vertical="top"/>
    </xf>
    <xf numFmtId="0" fontId="0" fillId="0" borderId="0" xfId="0" applyAlignment="1">
      <alignment horizontal="left" vertical="top" wrapText="1"/>
    </xf>
    <xf numFmtId="165" fontId="0" fillId="0" borderId="0" xfId="0" applyNumberFormat="1" applyAlignment="1">
      <alignment horizontal="center" vertical="top"/>
    </xf>
    <xf numFmtId="164" fontId="9" fillId="0" borderId="0" xfId="0" applyNumberFormat="1" applyFont="1" applyAlignment="1">
      <alignment horizontal="center" vertical="top"/>
    </xf>
    <xf numFmtId="1" fontId="0" fillId="0" borderId="0" xfId="0" applyNumberFormat="1" applyAlignment="1">
      <alignment horizontal="center" vertical="top"/>
    </xf>
    <xf numFmtId="0" fontId="6" fillId="0" borderId="0" xfId="0" applyFont="1" applyAlignment="1">
      <alignment vertical="top"/>
    </xf>
    <xf numFmtId="0" fontId="3" fillId="0" borderId="0" xfId="0" applyFont="1" applyAlignment="1">
      <alignment vertical="top"/>
    </xf>
    <xf numFmtId="0" fontId="5" fillId="0" borderId="26" xfId="0" applyFont="1" applyBorder="1" applyAlignment="1">
      <alignment horizontal="center" vertical="top" wrapText="1"/>
    </xf>
    <xf numFmtId="0" fontId="0" fillId="0" borderId="15" xfId="0" applyBorder="1"/>
    <xf numFmtId="0" fontId="0" fillId="0" borderId="35" xfId="0" applyBorder="1"/>
    <xf numFmtId="0" fontId="0" fillId="0" borderId="1" xfId="0" applyBorder="1"/>
    <xf numFmtId="0" fontId="5" fillId="0" borderId="32" xfId="0" applyFont="1" applyBorder="1" applyAlignment="1">
      <alignment horizontal="center" vertical="top" wrapText="1"/>
    </xf>
    <xf numFmtId="0" fontId="5" fillId="0" borderId="33" xfId="0" applyFont="1" applyBorder="1" applyAlignment="1">
      <alignment horizontal="center" vertical="top" wrapText="1"/>
    </xf>
    <xf numFmtId="0" fontId="5" fillId="0" borderId="15" xfId="0" applyFont="1" applyBorder="1" applyAlignment="1">
      <alignment horizontal="center" vertical="top" wrapText="1"/>
    </xf>
    <xf numFmtId="0" fontId="5" fillId="0" borderId="28" xfId="0" applyFont="1" applyBorder="1" applyAlignment="1">
      <alignment horizontal="center" vertical="top" wrapText="1"/>
    </xf>
    <xf numFmtId="0" fontId="0" fillId="0" borderId="36" xfId="0" applyBorder="1"/>
    <xf numFmtId="0" fontId="0" fillId="0" borderId="37" xfId="0" applyBorder="1"/>
    <xf numFmtId="0" fontId="0" fillId="0" borderId="29" xfId="0" applyBorder="1"/>
    <xf numFmtId="0" fontId="2" fillId="0" borderId="0" xfId="0" applyFont="1"/>
    <xf numFmtId="0" fontId="0" fillId="0" borderId="28" xfId="0" applyBorder="1"/>
    <xf numFmtId="0" fontId="0" fillId="5" borderId="0" xfId="0" applyFill="1"/>
    <xf numFmtId="0" fontId="0" fillId="6" borderId="0" xfId="0" applyFill="1"/>
    <xf numFmtId="0" fontId="0" fillId="6" borderId="34" xfId="0" applyFill="1" applyBorder="1"/>
    <xf numFmtId="0" fontId="0" fillId="6" borderId="35" xfId="0" applyFill="1" applyBorder="1"/>
    <xf numFmtId="0" fontId="0" fillId="6" borderId="1" xfId="0" applyFill="1" applyBorder="1"/>
    <xf numFmtId="2" fontId="3" fillId="6" borderId="0" xfId="0" applyNumberFormat="1" applyFont="1" applyFill="1" applyAlignment="1">
      <alignment horizontal="center" vertical="top"/>
    </xf>
    <xf numFmtId="2" fontId="3" fillId="6" borderId="1" xfId="0" applyNumberFormat="1" applyFont="1" applyFill="1" applyBorder="1" applyAlignment="1">
      <alignment horizontal="center" vertical="top"/>
    </xf>
    <xf numFmtId="165" fontId="3" fillId="5" borderId="30" xfId="0" applyNumberFormat="1" applyFont="1" applyFill="1" applyBorder="1" applyAlignment="1">
      <alignment horizontal="center" vertical="top"/>
    </xf>
    <xf numFmtId="165" fontId="3" fillId="5" borderId="31" xfId="0" applyNumberFormat="1" applyFont="1" applyFill="1" applyBorder="1" applyAlignment="1">
      <alignment horizontal="center" vertical="top"/>
    </xf>
    <xf numFmtId="165" fontId="3" fillId="5" borderId="0" xfId="0" applyNumberFormat="1" applyFont="1" applyFill="1" applyAlignment="1">
      <alignment horizontal="center" vertical="top"/>
    </xf>
    <xf numFmtId="2" fontId="3" fillId="5" borderId="0" xfId="0" applyNumberFormat="1" applyFont="1" applyFill="1" applyAlignment="1">
      <alignment horizontal="center" vertical="top"/>
    </xf>
    <xf numFmtId="165" fontId="3" fillId="5" borderId="27" xfId="0" applyNumberFormat="1" applyFont="1" applyFill="1" applyBorder="1" applyAlignment="1">
      <alignment horizontal="center" vertical="top"/>
    </xf>
    <xf numFmtId="165" fontId="3" fillId="5" borderId="36" xfId="0" applyNumberFormat="1" applyFont="1" applyFill="1" applyBorder="1" applyAlignment="1">
      <alignment horizontal="center" vertical="top"/>
    </xf>
    <xf numFmtId="165" fontId="3" fillId="5" borderId="37" xfId="0" applyNumberFormat="1" applyFont="1" applyFill="1" applyBorder="1" applyAlignment="1">
      <alignment horizontal="center" vertical="top"/>
    </xf>
    <xf numFmtId="165" fontId="3" fillId="5" borderId="1" xfId="0" applyNumberFormat="1" applyFont="1" applyFill="1" applyBorder="1" applyAlignment="1">
      <alignment horizontal="center" vertical="top"/>
    </xf>
    <xf numFmtId="2" fontId="3" fillId="5" borderId="1" xfId="0" applyNumberFormat="1" applyFont="1" applyFill="1" applyBorder="1" applyAlignment="1">
      <alignment horizontal="center" vertical="top"/>
    </xf>
    <xf numFmtId="165" fontId="3" fillId="5" borderId="29" xfId="0" applyNumberFormat="1" applyFont="1" applyFill="1" applyBorder="1" applyAlignment="1">
      <alignment horizontal="center" vertical="top"/>
    </xf>
    <xf numFmtId="2" fontId="0" fillId="5" borderId="0" xfId="0" applyNumberFormat="1" applyFill="1"/>
    <xf numFmtId="2" fontId="0" fillId="5" borderId="1" xfId="0" applyNumberFormat="1" applyFill="1" applyBorder="1"/>
    <xf numFmtId="0" fontId="0" fillId="7" borderId="0" xfId="0" applyFill="1"/>
    <xf numFmtId="2" fontId="3" fillId="7" borderId="0" xfId="0" applyNumberFormat="1" applyFont="1" applyFill="1" applyAlignment="1">
      <alignment horizontal="center" vertical="top"/>
    </xf>
    <xf numFmtId="0" fontId="0" fillId="0" borderId="36" xfId="0" quotePrefix="1" applyBorder="1"/>
    <xf numFmtId="0" fontId="2" fillId="0" borderId="26" xfId="0" applyFont="1" applyBorder="1" applyAlignment="1">
      <alignment horizontal="center" wrapText="1"/>
    </xf>
    <xf numFmtId="0" fontId="2" fillId="0" borderId="15" xfId="0" applyFont="1" applyBorder="1" applyAlignment="1">
      <alignment horizontal="center" wrapText="1"/>
    </xf>
    <xf numFmtId="165" fontId="3" fillId="6" borderId="0" xfId="0" applyNumberFormat="1" applyFont="1" applyFill="1" applyAlignment="1">
      <alignment horizontal="center" vertical="top"/>
    </xf>
    <xf numFmtId="0" fontId="0" fillId="5" borderId="34" xfId="0" applyFill="1" applyBorder="1"/>
    <xf numFmtId="0" fontId="0" fillId="5" borderId="35" xfId="0" applyFill="1" applyBorder="1"/>
    <xf numFmtId="0" fontId="0" fillId="5" borderId="1" xfId="0" applyFill="1" applyBorder="1"/>
    <xf numFmtId="0" fontId="0" fillId="0" borderId="39" xfId="0" applyBorder="1"/>
    <xf numFmtId="0" fontId="0" fillId="0" borderId="40" xfId="0" applyBorder="1"/>
    <xf numFmtId="0" fontId="0" fillId="0" borderId="41" xfId="0" applyBorder="1"/>
    <xf numFmtId="0" fontId="0" fillId="0" borderId="38" xfId="0" applyBorder="1"/>
    <xf numFmtId="0" fontId="0" fillId="7" borderId="34" xfId="0" applyFill="1" applyBorder="1"/>
    <xf numFmtId="0" fontId="0" fillId="7" borderId="35" xfId="0" applyFill="1" applyBorder="1"/>
    <xf numFmtId="0" fontId="0" fillId="0" borderId="0" xfId="0" quotePrefix="1"/>
    <xf numFmtId="0" fontId="0" fillId="8" borderId="0" xfId="0" applyFill="1"/>
    <xf numFmtId="0" fontId="0" fillId="4" borderId="0" xfId="0" applyFill="1"/>
    <xf numFmtId="0" fontId="0" fillId="9" borderId="0" xfId="0" applyFill="1"/>
    <xf numFmtId="0" fontId="11" fillId="0" borderId="0" xfId="0" applyFont="1"/>
  </cellXfs>
  <cellStyles count="1">
    <cellStyle name="Normal" xfId="0" builtinId="0"/>
  </cellStyles>
  <dxfs count="16">
    <dxf>
      <fill>
        <patternFill>
          <bgColor theme="5" tint="0.39994506668294322"/>
        </patternFill>
      </fill>
    </dxf>
    <dxf>
      <fill>
        <patternFill>
          <bgColor theme="5"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Matthias Hauth" id="{BD80ED42-D898-49AE-B600-03F4B9CE2705}" userId="S::matthias.hauth@deltares.nl::73b38e9e-f087-4a21-9191-63508058fabe"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72" dT="2025-06-25T08:09:54.74" personId="{BD80ED42-D898-49AE-B600-03F4B9CE2705}" id="{3216A7B8-4E5F-4A83-939B-D12AF50B71C4}">
    <text>Contractor should use local CPT to derive shear strength params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DE19D-4CF2-4081-B00D-BF08E7032CA7}">
  <sheetPr>
    <tabColor rgb="FF00FF00"/>
    <pageSetUpPr fitToPage="1"/>
  </sheetPr>
  <dimension ref="A1:AB89"/>
  <sheetViews>
    <sheetView zoomScale="85" zoomScaleNormal="85" workbookViewId="0">
      <pane xSplit="2" ySplit="4" topLeftCell="N14" activePane="bottomRight" state="frozen"/>
      <selection pane="topRight" activeCell="C1" sqref="C1"/>
      <selection pane="bottomLeft" activeCell="A4" sqref="A4"/>
      <selection pane="bottomRight" activeCell="Q13" sqref="Q13"/>
    </sheetView>
  </sheetViews>
  <sheetFormatPr defaultColWidth="9.140625" defaultRowHeight="15" x14ac:dyDescent="0.25"/>
  <cols>
    <col min="1" max="1" width="19.28515625" style="14" customWidth="1"/>
    <col min="2" max="2" width="66" style="14" customWidth="1"/>
    <col min="3" max="3" width="43.7109375" style="14" customWidth="1"/>
    <col min="4" max="4" width="46.85546875" style="27" customWidth="1"/>
    <col min="5" max="5" width="17.42578125" style="100" customWidth="1"/>
    <col min="6" max="6" width="19.28515625" style="101" customWidth="1"/>
    <col min="7" max="7" width="18.140625" style="101" customWidth="1"/>
    <col min="8" max="8" width="21.7109375" style="102" customWidth="1"/>
    <col min="9" max="9" width="18.140625" style="101" customWidth="1"/>
    <col min="10" max="10" width="18.140625" style="103" customWidth="1"/>
    <col min="11" max="11" width="17" style="101" customWidth="1"/>
    <col min="12" max="12" width="46.28515625" style="101" customWidth="1"/>
    <col min="13" max="13" width="46.28515625" style="104" customWidth="1"/>
    <col min="14" max="14" width="19.85546875" style="100" customWidth="1"/>
    <col min="15" max="15" width="21.140625" style="103" customWidth="1"/>
    <col min="16" max="16" width="21.140625" style="101" customWidth="1"/>
    <col min="17" max="17" width="26" style="101" customWidth="1"/>
    <col min="18" max="18" width="26" style="103" customWidth="1"/>
    <col min="19" max="19" width="22.42578125" style="103" customWidth="1"/>
    <col min="20" max="20" width="17.85546875" style="8" customWidth="1"/>
    <col min="21" max="21" width="19.85546875" style="105" customWidth="1"/>
    <col min="22" max="22" width="20.42578125" style="103" customWidth="1"/>
    <col min="23" max="24" width="20.42578125" style="105" customWidth="1"/>
    <col min="25" max="26" width="23.28515625" style="106" bestFit="1" customWidth="1"/>
    <col min="27" max="28" width="19.85546875" style="107" customWidth="1"/>
    <col min="29" max="16384" width="9.140625" style="14"/>
  </cols>
  <sheetData>
    <row r="1" spans="1:28" ht="90.75" hidden="1" customHeight="1" thickBot="1" x14ac:dyDescent="0.3">
      <c r="A1" s="1" t="s">
        <v>0</v>
      </c>
      <c r="B1" s="2"/>
      <c r="C1" s="3"/>
      <c r="D1" s="1" t="s">
        <v>1</v>
      </c>
      <c r="E1" s="4"/>
      <c r="F1" s="3"/>
      <c r="G1" s="1" t="s">
        <v>2</v>
      </c>
      <c r="H1" s="1"/>
      <c r="I1" s="1"/>
      <c r="J1" s="1"/>
      <c r="K1" s="3"/>
      <c r="L1" s="5"/>
      <c r="M1" s="6"/>
      <c r="N1" s="4"/>
      <c r="O1" s="5"/>
      <c r="P1" s="3"/>
      <c r="Q1" s="5"/>
      <c r="R1" s="7" t="s">
        <v>3</v>
      </c>
      <c r="S1" s="7" t="s">
        <v>4</v>
      </c>
      <c r="U1" s="9" t="s">
        <v>5</v>
      </c>
      <c r="V1" s="10" t="s">
        <v>5</v>
      </c>
      <c r="W1" s="11"/>
      <c r="X1" s="11"/>
      <c r="Y1" s="12"/>
      <c r="Z1" s="12"/>
      <c r="AA1" s="13"/>
      <c r="AB1" s="13"/>
    </row>
    <row r="2" spans="1:28" s="27" customFormat="1" ht="60" x14ac:dyDescent="0.25">
      <c r="A2" s="15" t="s">
        <v>6</v>
      </c>
      <c r="B2" s="16" t="s">
        <v>7</v>
      </c>
      <c r="C2" s="17" t="s">
        <v>8</v>
      </c>
      <c r="D2" s="18" t="str">
        <f>"Toelichting bij keuze voor "&amp;C2</f>
        <v>Toelichting bij keuze voor NEN Omschrijving</v>
      </c>
      <c r="E2" s="19" t="s">
        <v>9</v>
      </c>
      <c r="F2" s="18" t="s">
        <v>10</v>
      </c>
      <c r="G2" s="20" t="s">
        <v>11</v>
      </c>
      <c r="H2" s="20" t="s">
        <v>12</v>
      </c>
      <c r="I2" s="20" t="s">
        <v>13</v>
      </c>
      <c r="J2" s="20" t="s">
        <v>14</v>
      </c>
      <c r="K2" s="18" t="s">
        <v>15</v>
      </c>
      <c r="L2" s="18" t="s">
        <v>16</v>
      </c>
      <c r="M2" s="21" t="str">
        <f>"Toelichting bij keuze voor "&amp;L2</f>
        <v>Toelichting bij keuze voor omschrijving tbv Bijlage 13 tabel 6.1</v>
      </c>
      <c r="N2" s="20" t="s">
        <v>17</v>
      </c>
      <c r="O2" s="18" t="s">
        <v>18</v>
      </c>
      <c r="P2" s="20" t="s">
        <v>19</v>
      </c>
      <c r="Q2" s="18" t="s">
        <v>20</v>
      </c>
      <c r="R2" s="18" t="s">
        <v>21</v>
      </c>
      <c r="S2" s="18" t="s">
        <v>22</v>
      </c>
      <c r="T2" s="22" t="s">
        <v>23</v>
      </c>
      <c r="U2" s="23" t="s">
        <v>24</v>
      </c>
      <c r="V2" s="24" t="s">
        <v>25</v>
      </c>
      <c r="W2" s="23" t="s">
        <v>26</v>
      </c>
      <c r="X2" s="23" t="s">
        <v>27</v>
      </c>
      <c r="Y2" s="25" t="s">
        <v>28</v>
      </c>
      <c r="Z2" s="25" t="s">
        <v>29</v>
      </c>
      <c r="AA2" s="18" t="s">
        <v>30</v>
      </c>
      <c r="AB2" s="26" t="s">
        <v>31</v>
      </c>
    </row>
    <row r="3" spans="1:28" s="27" customFormat="1" ht="17.25" x14ac:dyDescent="0.25">
      <c r="A3" s="28"/>
      <c r="B3" s="29"/>
      <c r="C3" s="30"/>
      <c r="D3" s="31"/>
      <c r="E3" s="32" t="s">
        <v>32</v>
      </c>
      <c r="F3" s="33"/>
      <c r="G3" s="34" t="s">
        <v>33</v>
      </c>
      <c r="H3" s="34" t="s">
        <v>33</v>
      </c>
      <c r="I3" s="34" t="s">
        <v>33</v>
      </c>
      <c r="J3" s="34" t="s">
        <v>33</v>
      </c>
      <c r="K3" s="33" t="s">
        <v>34</v>
      </c>
      <c r="L3" s="33"/>
      <c r="M3" s="35"/>
      <c r="N3" s="34" t="s">
        <v>35</v>
      </c>
      <c r="O3" s="34" t="s">
        <v>35</v>
      </c>
      <c r="P3" s="34" t="s">
        <v>35</v>
      </c>
      <c r="Q3" s="33" t="s">
        <v>34</v>
      </c>
      <c r="R3" s="33" t="s">
        <v>34</v>
      </c>
      <c r="S3" s="33"/>
      <c r="T3" s="36"/>
      <c r="U3" s="37" t="s">
        <v>36</v>
      </c>
      <c r="V3" s="38" t="s">
        <v>36</v>
      </c>
      <c r="W3" s="37" t="s">
        <v>36</v>
      </c>
      <c r="X3" s="37" t="s">
        <v>36</v>
      </c>
      <c r="Y3" s="39" t="s">
        <v>34</v>
      </c>
      <c r="Z3" s="39" t="s">
        <v>34</v>
      </c>
      <c r="AA3" s="33" t="s">
        <v>37</v>
      </c>
      <c r="AB3" s="40" t="s">
        <v>37</v>
      </c>
    </row>
    <row r="4" spans="1:28" ht="60.75" thickBot="1" x14ac:dyDescent="0.3">
      <c r="A4" s="41" t="s">
        <v>38</v>
      </c>
      <c r="B4" s="42" t="s">
        <v>38</v>
      </c>
      <c r="C4" s="43" t="s">
        <v>39</v>
      </c>
      <c r="D4" s="44"/>
      <c r="E4" s="45" t="s">
        <v>40</v>
      </c>
      <c r="F4" s="46" t="s">
        <v>38</v>
      </c>
      <c r="G4" s="44" t="s">
        <v>41</v>
      </c>
      <c r="H4" s="44" t="s">
        <v>41</v>
      </c>
      <c r="I4" s="44" t="s">
        <v>41</v>
      </c>
      <c r="J4" s="44" t="s">
        <v>41</v>
      </c>
      <c r="K4" s="46" t="s">
        <v>42</v>
      </c>
      <c r="L4" s="46"/>
      <c r="M4" s="47"/>
      <c r="N4" s="46" t="s">
        <v>43</v>
      </c>
      <c r="O4" s="46" t="s">
        <v>43</v>
      </c>
      <c r="P4" s="46" t="s">
        <v>42</v>
      </c>
      <c r="Q4" s="44" t="s">
        <v>44</v>
      </c>
      <c r="R4" s="44" t="s">
        <v>44</v>
      </c>
      <c r="S4" s="44" t="s">
        <v>45</v>
      </c>
      <c r="T4" s="48"/>
      <c r="U4" s="49" t="s">
        <v>46</v>
      </c>
      <c r="V4" s="49" t="s">
        <v>46</v>
      </c>
      <c r="W4" s="49" t="s">
        <v>47</v>
      </c>
      <c r="X4" s="49" t="s">
        <v>47</v>
      </c>
      <c r="Y4" s="50" t="s">
        <v>48</v>
      </c>
      <c r="Z4" s="50" t="s">
        <v>48</v>
      </c>
      <c r="AA4" s="46" t="s">
        <v>49</v>
      </c>
      <c r="AB4" s="51" t="s">
        <v>49</v>
      </c>
    </row>
    <row r="5" spans="1:28" ht="60" x14ac:dyDescent="0.25">
      <c r="A5" s="52" t="s">
        <v>50</v>
      </c>
      <c r="B5" s="53" t="s">
        <v>51</v>
      </c>
      <c r="C5" s="52" t="s">
        <v>52</v>
      </c>
      <c r="D5" s="54"/>
      <c r="E5" s="55">
        <v>8</v>
      </c>
      <c r="F5" s="56" t="s">
        <v>53</v>
      </c>
      <c r="G5" s="56">
        <v>18</v>
      </c>
      <c r="H5" s="56">
        <v>19</v>
      </c>
      <c r="I5" s="56">
        <v>20</v>
      </c>
      <c r="J5" s="56">
        <v>21</v>
      </c>
      <c r="K5" s="56">
        <v>0</v>
      </c>
      <c r="L5" s="56" t="s">
        <v>54</v>
      </c>
      <c r="M5" s="57" t="s">
        <v>55</v>
      </c>
      <c r="N5" s="55">
        <v>32.4</v>
      </c>
      <c r="O5" s="55">
        <v>34</v>
      </c>
      <c r="P5" s="58">
        <v>0</v>
      </c>
      <c r="Q5" s="55" t="s">
        <v>56</v>
      </c>
      <c r="R5" s="55" t="s">
        <v>56</v>
      </c>
      <c r="S5" s="56" t="s">
        <v>57</v>
      </c>
      <c r="T5" s="59" t="s">
        <v>58</v>
      </c>
      <c r="U5" s="60" t="s">
        <v>56</v>
      </c>
      <c r="V5" s="60" t="s">
        <v>56</v>
      </c>
      <c r="W5" s="60" t="s">
        <v>56</v>
      </c>
      <c r="X5" s="60" t="s">
        <v>56</v>
      </c>
      <c r="Y5" s="55" t="s">
        <v>56</v>
      </c>
      <c r="Z5" s="55" t="s">
        <v>56</v>
      </c>
      <c r="AA5" s="58">
        <v>103</v>
      </c>
      <c r="AB5" s="61">
        <v>103</v>
      </c>
    </row>
    <row r="6" spans="1:28" x14ac:dyDescent="0.25">
      <c r="A6" s="62" t="s">
        <v>59</v>
      </c>
      <c r="B6" s="63" t="s">
        <v>60</v>
      </c>
      <c r="C6" s="62" t="s">
        <v>52</v>
      </c>
      <c r="D6" s="64"/>
      <c r="E6" s="65">
        <v>8</v>
      </c>
      <c r="F6" s="66" t="s">
        <v>53</v>
      </c>
      <c r="G6" s="66">
        <v>18</v>
      </c>
      <c r="H6" s="66">
        <v>19</v>
      </c>
      <c r="I6" s="66">
        <v>20</v>
      </c>
      <c r="J6" s="66">
        <v>21</v>
      </c>
      <c r="K6" s="66">
        <v>0</v>
      </c>
      <c r="L6" s="66" t="s">
        <v>61</v>
      </c>
      <c r="M6" s="67"/>
      <c r="N6" s="65">
        <v>29.9</v>
      </c>
      <c r="O6" s="65">
        <v>32</v>
      </c>
      <c r="P6" s="68">
        <v>0</v>
      </c>
      <c r="Q6" s="65" t="s">
        <v>56</v>
      </c>
      <c r="R6" s="65" t="s">
        <v>56</v>
      </c>
      <c r="S6" s="66" t="s">
        <v>57</v>
      </c>
      <c r="T6" s="69" t="s">
        <v>58</v>
      </c>
      <c r="U6" s="70" t="s">
        <v>56</v>
      </c>
      <c r="V6" s="70" t="s">
        <v>56</v>
      </c>
      <c r="W6" s="70" t="s">
        <v>56</v>
      </c>
      <c r="X6" s="70" t="s">
        <v>56</v>
      </c>
      <c r="Y6" s="65" t="s">
        <v>56</v>
      </c>
      <c r="Z6" s="65" t="s">
        <v>56</v>
      </c>
      <c r="AA6" s="68">
        <v>103</v>
      </c>
      <c r="AB6" s="71">
        <v>103</v>
      </c>
    </row>
    <row r="7" spans="1:28" x14ac:dyDescent="0.25">
      <c r="A7" s="62" t="s">
        <v>62</v>
      </c>
      <c r="B7" s="63" t="s">
        <v>63</v>
      </c>
      <c r="C7" s="62" t="s">
        <v>52</v>
      </c>
      <c r="D7" s="64"/>
      <c r="E7" s="65">
        <v>8</v>
      </c>
      <c r="F7" s="66" t="s">
        <v>53</v>
      </c>
      <c r="G7" s="66">
        <v>18</v>
      </c>
      <c r="H7" s="66">
        <v>19</v>
      </c>
      <c r="I7" s="66">
        <v>20</v>
      </c>
      <c r="J7" s="66">
        <v>21</v>
      </c>
      <c r="K7" s="66">
        <v>0</v>
      </c>
      <c r="L7" s="66" t="s">
        <v>61</v>
      </c>
      <c r="M7" s="67"/>
      <c r="N7" s="65">
        <v>29.9</v>
      </c>
      <c r="O7" s="65">
        <v>32</v>
      </c>
      <c r="P7" s="68">
        <v>0</v>
      </c>
      <c r="Q7" s="65" t="s">
        <v>56</v>
      </c>
      <c r="R7" s="65" t="s">
        <v>56</v>
      </c>
      <c r="S7" s="66" t="s">
        <v>57</v>
      </c>
      <c r="T7" s="69" t="s">
        <v>58</v>
      </c>
      <c r="U7" s="70" t="s">
        <v>56</v>
      </c>
      <c r="V7" s="70" t="s">
        <v>56</v>
      </c>
      <c r="W7" s="70" t="s">
        <v>56</v>
      </c>
      <c r="X7" s="70" t="s">
        <v>56</v>
      </c>
      <c r="Y7" s="65" t="s">
        <v>56</v>
      </c>
      <c r="Z7" s="65" t="s">
        <v>56</v>
      </c>
      <c r="AA7" s="68">
        <v>103</v>
      </c>
      <c r="AB7" s="71">
        <v>103</v>
      </c>
    </row>
    <row r="8" spans="1:28" x14ac:dyDescent="0.25">
      <c r="A8" s="62" t="s">
        <v>64</v>
      </c>
      <c r="B8" s="63" t="s">
        <v>65</v>
      </c>
      <c r="C8" s="62" t="s">
        <v>66</v>
      </c>
      <c r="D8" s="64"/>
      <c r="E8" s="65">
        <v>5</v>
      </c>
      <c r="F8" s="66" t="s">
        <v>53</v>
      </c>
      <c r="G8" s="66">
        <v>17</v>
      </c>
      <c r="H8" s="66">
        <v>18</v>
      </c>
      <c r="I8" s="66">
        <v>19</v>
      </c>
      <c r="J8" s="66">
        <v>20</v>
      </c>
      <c r="K8" s="66">
        <v>0</v>
      </c>
      <c r="L8" s="66" t="s">
        <v>61</v>
      </c>
      <c r="M8" s="67"/>
      <c r="N8" s="65">
        <v>29.9</v>
      </c>
      <c r="O8" s="65">
        <v>32</v>
      </c>
      <c r="P8" s="68">
        <v>0</v>
      </c>
      <c r="Q8" s="65" t="s">
        <v>56</v>
      </c>
      <c r="R8" s="65" t="s">
        <v>56</v>
      </c>
      <c r="S8" s="66" t="s">
        <v>57</v>
      </c>
      <c r="T8" s="69" t="s">
        <v>58</v>
      </c>
      <c r="U8" s="70" t="s">
        <v>56</v>
      </c>
      <c r="V8" s="70" t="s">
        <v>56</v>
      </c>
      <c r="W8" s="70" t="s">
        <v>56</v>
      </c>
      <c r="X8" s="70" t="s">
        <v>56</v>
      </c>
      <c r="Y8" s="65" t="s">
        <v>56</v>
      </c>
      <c r="Z8" s="65" t="s">
        <v>56</v>
      </c>
      <c r="AA8" s="68">
        <v>103</v>
      </c>
      <c r="AB8" s="71">
        <v>103</v>
      </c>
    </row>
    <row r="9" spans="1:28" x14ac:dyDescent="0.25">
      <c r="A9" s="62" t="s">
        <v>67</v>
      </c>
      <c r="B9" s="63" t="s">
        <v>68</v>
      </c>
      <c r="C9" s="62" t="s">
        <v>52</v>
      </c>
      <c r="D9" s="64"/>
      <c r="E9" s="65">
        <v>8</v>
      </c>
      <c r="F9" s="66" t="s">
        <v>53</v>
      </c>
      <c r="G9" s="66">
        <v>18</v>
      </c>
      <c r="H9" s="66">
        <v>19</v>
      </c>
      <c r="I9" s="66">
        <v>20</v>
      </c>
      <c r="J9" s="66">
        <v>21</v>
      </c>
      <c r="K9" s="66">
        <v>0</v>
      </c>
      <c r="L9" s="66" t="s">
        <v>61</v>
      </c>
      <c r="M9" s="67"/>
      <c r="N9" s="65">
        <v>29.9</v>
      </c>
      <c r="O9" s="65">
        <v>32</v>
      </c>
      <c r="P9" s="68">
        <v>0</v>
      </c>
      <c r="Q9" s="65" t="s">
        <v>56</v>
      </c>
      <c r="R9" s="65" t="s">
        <v>56</v>
      </c>
      <c r="S9" s="66" t="s">
        <v>57</v>
      </c>
      <c r="T9" s="69" t="s">
        <v>58</v>
      </c>
      <c r="U9" s="70" t="s">
        <v>56</v>
      </c>
      <c r="V9" s="70" t="s">
        <v>56</v>
      </c>
      <c r="W9" s="70" t="s">
        <v>56</v>
      </c>
      <c r="X9" s="70" t="s">
        <v>56</v>
      </c>
      <c r="Y9" s="65" t="s">
        <v>56</v>
      </c>
      <c r="Z9" s="65" t="s">
        <v>56</v>
      </c>
      <c r="AA9" s="68">
        <v>103</v>
      </c>
      <c r="AB9" s="71">
        <v>103</v>
      </c>
    </row>
    <row r="10" spans="1:28" x14ac:dyDescent="0.25">
      <c r="A10" s="62" t="s">
        <v>69</v>
      </c>
      <c r="B10" s="63" t="s">
        <v>68</v>
      </c>
      <c r="C10" s="62" t="s">
        <v>70</v>
      </c>
      <c r="D10" s="64"/>
      <c r="E10" s="65">
        <v>0.7</v>
      </c>
      <c r="F10" s="66" t="s">
        <v>71</v>
      </c>
      <c r="G10" s="66">
        <v>15</v>
      </c>
      <c r="H10" s="66">
        <v>18</v>
      </c>
      <c r="I10" s="66">
        <v>15</v>
      </c>
      <c r="J10" s="66">
        <v>18</v>
      </c>
      <c r="K10" s="66">
        <v>0</v>
      </c>
      <c r="L10" s="66" t="s">
        <v>72</v>
      </c>
      <c r="M10" s="67"/>
      <c r="N10" s="65">
        <v>29.9</v>
      </c>
      <c r="O10" s="65">
        <v>32</v>
      </c>
      <c r="P10" s="68">
        <v>0</v>
      </c>
      <c r="Q10" s="65">
        <v>8</v>
      </c>
      <c r="R10" s="65" t="e">
        <v>#N/A</v>
      </c>
      <c r="S10" s="66" t="s">
        <v>57</v>
      </c>
      <c r="T10" s="72" t="s">
        <v>73</v>
      </c>
      <c r="U10" s="73">
        <v>0.25900000000000001</v>
      </c>
      <c r="V10" s="73">
        <v>0.26200000000000001</v>
      </c>
      <c r="W10" s="73">
        <v>0.89200000000000002</v>
      </c>
      <c r="X10" s="73">
        <v>0.9</v>
      </c>
      <c r="Y10" s="74">
        <v>28.42</v>
      </c>
      <c r="Z10" s="74">
        <v>48.51</v>
      </c>
      <c r="AA10" s="68">
        <v>60</v>
      </c>
      <c r="AB10" s="71">
        <v>100</v>
      </c>
    </row>
    <row r="11" spans="1:28" x14ac:dyDescent="0.25">
      <c r="A11" s="62" t="s">
        <v>74</v>
      </c>
      <c r="B11" s="63" t="s">
        <v>75</v>
      </c>
      <c r="C11" s="62" t="s">
        <v>70</v>
      </c>
      <c r="D11" s="64"/>
      <c r="E11" s="65">
        <v>0.7</v>
      </c>
      <c r="F11" s="66" t="s">
        <v>71</v>
      </c>
      <c r="G11" s="66">
        <v>15</v>
      </c>
      <c r="H11" s="66">
        <v>18</v>
      </c>
      <c r="I11" s="66">
        <v>15</v>
      </c>
      <c r="J11" s="66">
        <v>18</v>
      </c>
      <c r="K11" s="66">
        <v>0</v>
      </c>
      <c r="L11" s="66" t="s">
        <v>72</v>
      </c>
      <c r="M11" s="67"/>
      <c r="N11" s="65">
        <v>29.9</v>
      </c>
      <c r="O11" s="65">
        <v>32</v>
      </c>
      <c r="P11" s="68">
        <v>0</v>
      </c>
      <c r="Q11" s="65">
        <v>8</v>
      </c>
      <c r="R11" s="65" t="e">
        <v>#N/A</v>
      </c>
      <c r="S11" s="66" t="s">
        <v>57</v>
      </c>
      <c r="T11" s="72" t="s">
        <v>74</v>
      </c>
      <c r="U11" s="73">
        <v>0.25900000000000001</v>
      </c>
      <c r="V11" s="73">
        <v>0.26200000000000001</v>
      </c>
      <c r="W11" s="73">
        <v>0.89200000000000002</v>
      </c>
      <c r="X11" s="73">
        <v>0.9</v>
      </c>
      <c r="Y11" s="74">
        <v>28.42</v>
      </c>
      <c r="Z11" s="74">
        <v>48.51</v>
      </c>
      <c r="AA11" s="68">
        <v>60</v>
      </c>
      <c r="AB11" s="71">
        <v>100</v>
      </c>
    </row>
    <row r="12" spans="1:28" x14ac:dyDescent="0.25">
      <c r="A12" s="62" t="s">
        <v>76</v>
      </c>
      <c r="B12" s="63" t="s">
        <v>77</v>
      </c>
      <c r="C12" s="62" t="s">
        <v>70</v>
      </c>
      <c r="D12" s="64"/>
      <c r="E12" s="65">
        <v>0.7</v>
      </c>
      <c r="F12" s="66" t="s">
        <v>71</v>
      </c>
      <c r="G12" s="66">
        <v>15</v>
      </c>
      <c r="H12" s="66">
        <v>18</v>
      </c>
      <c r="I12" s="66">
        <v>15</v>
      </c>
      <c r="J12" s="66">
        <v>18</v>
      </c>
      <c r="K12" s="66">
        <v>0</v>
      </c>
      <c r="L12" s="66" t="s">
        <v>78</v>
      </c>
      <c r="M12" s="67"/>
      <c r="N12" s="65">
        <v>34</v>
      </c>
      <c r="O12" s="65">
        <v>42</v>
      </c>
      <c r="P12" s="68">
        <v>0</v>
      </c>
      <c r="Q12" s="65">
        <v>8</v>
      </c>
      <c r="R12" s="65" t="e">
        <v>#N/A</v>
      </c>
      <c r="S12" s="66" t="s">
        <v>57</v>
      </c>
      <c r="T12" s="72" t="s">
        <v>76</v>
      </c>
      <c r="U12" s="73">
        <v>0.28100000000000003</v>
      </c>
      <c r="V12" s="73">
        <v>0.28999999999999998</v>
      </c>
      <c r="W12" s="73">
        <v>0.89200000000000002</v>
      </c>
      <c r="X12" s="73">
        <v>0.9</v>
      </c>
      <c r="Y12" s="74">
        <v>11.57</v>
      </c>
      <c r="Z12" s="74">
        <v>21.92</v>
      </c>
      <c r="AA12" s="68">
        <v>60</v>
      </c>
      <c r="AB12" s="71">
        <v>100</v>
      </c>
    </row>
    <row r="13" spans="1:28" x14ac:dyDescent="0.25">
      <c r="A13" s="62" t="s">
        <v>79</v>
      </c>
      <c r="B13" s="63" t="s">
        <v>80</v>
      </c>
      <c r="C13" s="62" t="s">
        <v>81</v>
      </c>
      <c r="D13" s="64"/>
      <c r="E13" s="65">
        <v>0.2</v>
      </c>
      <c r="F13" s="66" t="s">
        <v>71</v>
      </c>
      <c r="G13" s="66">
        <v>13</v>
      </c>
      <c r="H13" s="66">
        <v>15</v>
      </c>
      <c r="I13" s="66">
        <v>13</v>
      </c>
      <c r="J13" s="66">
        <v>15</v>
      </c>
      <c r="K13" s="66">
        <v>0</v>
      </c>
      <c r="L13" s="66" t="s">
        <v>82</v>
      </c>
      <c r="M13" s="67"/>
      <c r="N13" s="65">
        <v>36</v>
      </c>
      <c r="O13" s="65">
        <v>46</v>
      </c>
      <c r="P13" s="68">
        <v>0</v>
      </c>
      <c r="Q13" s="65">
        <v>4.0999999999999996</v>
      </c>
      <c r="R13" s="65" t="e">
        <v>#N/A</v>
      </c>
      <c r="S13" s="66" t="s">
        <v>57</v>
      </c>
      <c r="T13" s="72" t="s">
        <v>79</v>
      </c>
      <c r="U13" s="73">
        <v>0.30599999999999999</v>
      </c>
      <c r="V13" s="73">
        <v>0.315</v>
      </c>
      <c r="W13" s="73">
        <v>0.89100000000000001</v>
      </c>
      <c r="X13" s="73">
        <v>0.9</v>
      </c>
      <c r="Y13" s="74">
        <v>5.67</v>
      </c>
      <c r="Z13" s="74">
        <v>17.53</v>
      </c>
      <c r="AA13" s="68">
        <v>60</v>
      </c>
      <c r="AB13" s="71">
        <v>100</v>
      </c>
    </row>
    <row r="14" spans="1:28" x14ac:dyDescent="0.25">
      <c r="A14" s="62" t="s">
        <v>83</v>
      </c>
      <c r="B14" s="63" t="s">
        <v>84</v>
      </c>
      <c r="C14" s="62" t="s">
        <v>81</v>
      </c>
      <c r="D14" s="64"/>
      <c r="E14" s="65">
        <v>0.2</v>
      </c>
      <c r="F14" s="66" t="s">
        <v>71</v>
      </c>
      <c r="G14" s="66">
        <v>13</v>
      </c>
      <c r="H14" s="66">
        <v>15</v>
      </c>
      <c r="I14" s="66">
        <v>13</v>
      </c>
      <c r="J14" s="66">
        <v>15</v>
      </c>
      <c r="K14" s="66">
        <v>0</v>
      </c>
      <c r="L14" s="66" t="s">
        <v>82</v>
      </c>
      <c r="M14" s="67"/>
      <c r="N14" s="65">
        <v>36</v>
      </c>
      <c r="O14" s="65">
        <v>46</v>
      </c>
      <c r="P14" s="68">
        <v>0</v>
      </c>
      <c r="Q14" s="65">
        <v>4.0999999999999996</v>
      </c>
      <c r="R14" s="65" t="e">
        <v>#N/A</v>
      </c>
      <c r="S14" s="66" t="s">
        <v>57</v>
      </c>
      <c r="T14" s="72" t="s">
        <v>83</v>
      </c>
      <c r="U14" s="73">
        <v>0.30599999999999999</v>
      </c>
      <c r="V14" s="73">
        <v>0.315</v>
      </c>
      <c r="W14" s="73">
        <v>0.89100000000000001</v>
      </c>
      <c r="X14" s="73">
        <v>0.9</v>
      </c>
      <c r="Y14" s="74">
        <v>5.67</v>
      </c>
      <c r="Z14" s="74">
        <v>17.53</v>
      </c>
      <c r="AA14" s="68">
        <v>60</v>
      </c>
      <c r="AB14" s="71">
        <v>100</v>
      </c>
    </row>
    <row r="15" spans="1:28" x14ac:dyDescent="0.25">
      <c r="A15" s="62" t="s">
        <v>85</v>
      </c>
      <c r="B15" s="63" t="s">
        <v>86</v>
      </c>
      <c r="C15" s="62" t="s">
        <v>52</v>
      </c>
      <c r="D15" s="64"/>
      <c r="E15" s="65">
        <v>8</v>
      </c>
      <c r="F15" s="66" t="s">
        <v>53</v>
      </c>
      <c r="G15" s="66">
        <v>18</v>
      </c>
      <c r="H15" s="66">
        <v>19</v>
      </c>
      <c r="I15" s="66">
        <v>20</v>
      </c>
      <c r="J15" s="66">
        <v>21</v>
      </c>
      <c r="K15" s="66">
        <v>0</v>
      </c>
      <c r="L15" s="66" t="s">
        <v>61</v>
      </c>
      <c r="M15" s="67"/>
      <c r="N15" s="65">
        <v>29.9</v>
      </c>
      <c r="O15" s="65">
        <v>32</v>
      </c>
      <c r="P15" s="68">
        <v>0</v>
      </c>
      <c r="Q15" s="65" t="s">
        <v>56</v>
      </c>
      <c r="R15" s="65" t="s">
        <v>56</v>
      </c>
      <c r="S15" s="66" t="s">
        <v>57</v>
      </c>
      <c r="T15" s="69" t="s">
        <v>58</v>
      </c>
      <c r="U15" s="70" t="s">
        <v>56</v>
      </c>
      <c r="V15" s="70" t="s">
        <v>56</v>
      </c>
      <c r="W15" s="70" t="s">
        <v>56</v>
      </c>
      <c r="X15" s="70" t="s">
        <v>56</v>
      </c>
      <c r="Y15" s="65" t="s">
        <v>56</v>
      </c>
      <c r="Z15" s="65" t="s">
        <v>56</v>
      </c>
      <c r="AA15" s="68">
        <v>103</v>
      </c>
      <c r="AB15" s="71">
        <v>103</v>
      </c>
    </row>
    <row r="16" spans="1:28" ht="30" x14ac:dyDescent="0.25">
      <c r="A16" s="62" t="s">
        <v>87</v>
      </c>
      <c r="B16" s="63" t="s">
        <v>86</v>
      </c>
      <c r="C16" s="62" t="s">
        <v>88</v>
      </c>
      <c r="D16" s="64"/>
      <c r="E16" s="65">
        <v>1</v>
      </c>
      <c r="F16" s="66" t="s">
        <v>71</v>
      </c>
      <c r="G16" s="66">
        <v>18</v>
      </c>
      <c r="H16" s="66">
        <v>20</v>
      </c>
      <c r="I16" s="66">
        <v>18</v>
      </c>
      <c r="J16" s="66">
        <v>20</v>
      </c>
      <c r="K16" s="66">
        <v>0</v>
      </c>
      <c r="L16" s="66" t="s">
        <v>61</v>
      </c>
      <c r="M16" s="67"/>
      <c r="N16" s="65">
        <v>29.9</v>
      </c>
      <c r="O16" s="65">
        <v>32</v>
      </c>
      <c r="P16" s="68">
        <v>0</v>
      </c>
      <c r="Q16" s="65">
        <v>13.3</v>
      </c>
      <c r="R16" s="65" t="e">
        <v>#N/A</v>
      </c>
      <c r="S16" s="66" t="s">
        <v>89</v>
      </c>
      <c r="T16" s="72" t="s">
        <v>90</v>
      </c>
      <c r="U16" s="70" t="s">
        <v>56</v>
      </c>
      <c r="V16" s="70" t="s">
        <v>56</v>
      </c>
      <c r="W16" s="70" t="s">
        <v>56</v>
      </c>
      <c r="X16" s="70" t="s">
        <v>56</v>
      </c>
      <c r="Y16" s="65" t="s">
        <v>56</v>
      </c>
      <c r="Z16" s="65" t="s">
        <v>56</v>
      </c>
      <c r="AA16" s="68">
        <v>60</v>
      </c>
      <c r="AB16" s="71">
        <v>100</v>
      </c>
    </row>
    <row r="17" spans="1:28" ht="30" x14ac:dyDescent="0.25">
      <c r="A17" s="62" t="s">
        <v>91</v>
      </c>
      <c r="B17" s="63" t="s">
        <v>92</v>
      </c>
      <c r="C17" s="62" t="s">
        <v>88</v>
      </c>
      <c r="D17" s="64"/>
      <c r="E17" s="65">
        <v>1</v>
      </c>
      <c r="F17" s="66" t="s">
        <v>71</v>
      </c>
      <c r="G17" s="66">
        <v>18</v>
      </c>
      <c r="H17" s="66">
        <v>20</v>
      </c>
      <c r="I17" s="66">
        <v>18</v>
      </c>
      <c r="J17" s="66">
        <v>20</v>
      </c>
      <c r="K17" s="66">
        <v>0</v>
      </c>
      <c r="L17" s="66" t="s">
        <v>61</v>
      </c>
      <c r="M17" s="67"/>
      <c r="N17" s="65">
        <v>29.9</v>
      </c>
      <c r="O17" s="65">
        <v>32</v>
      </c>
      <c r="P17" s="68">
        <v>0</v>
      </c>
      <c r="Q17" s="65">
        <v>13.3</v>
      </c>
      <c r="R17" s="65" t="e">
        <v>#N/A</v>
      </c>
      <c r="S17" s="66" t="s">
        <v>89</v>
      </c>
      <c r="T17" s="72" t="s">
        <v>90</v>
      </c>
      <c r="U17" s="70" t="s">
        <v>56</v>
      </c>
      <c r="V17" s="70" t="s">
        <v>56</v>
      </c>
      <c r="W17" s="70" t="s">
        <v>56</v>
      </c>
      <c r="X17" s="70" t="s">
        <v>56</v>
      </c>
      <c r="Y17" s="65" t="s">
        <v>56</v>
      </c>
      <c r="Z17" s="65" t="s">
        <v>56</v>
      </c>
      <c r="AA17" s="68">
        <v>60</v>
      </c>
      <c r="AB17" s="71">
        <v>100</v>
      </c>
    </row>
    <row r="18" spans="1:28" x14ac:dyDescent="0.25">
      <c r="A18" s="62" t="s">
        <v>93</v>
      </c>
      <c r="B18" s="63" t="s">
        <v>92</v>
      </c>
      <c r="C18" s="62" t="s">
        <v>52</v>
      </c>
      <c r="D18" s="64"/>
      <c r="E18" s="65">
        <v>8</v>
      </c>
      <c r="F18" s="66" t="s">
        <v>53</v>
      </c>
      <c r="G18" s="66">
        <v>18</v>
      </c>
      <c r="H18" s="66">
        <v>19</v>
      </c>
      <c r="I18" s="66">
        <v>20</v>
      </c>
      <c r="J18" s="66">
        <v>21</v>
      </c>
      <c r="K18" s="66">
        <v>0</v>
      </c>
      <c r="L18" s="66" t="s">
        <v>61</v>
      </c>
      <c r="M18" s="67"/>
      <c r="N18" s="65">
        <v>29.9</v>
      </c>
      <c r="O18" s="65">
        <v>32</v>
      </c>
      <c r="P18" s="68">
        <v>0</v>
      </c>
      <c r="Q18" s="65" t="s">
        <v>56</v>
      </c>
      <c r="R18" s="65" t="s">
        <v>56</v>
      </c>
      <c r="S18" s="66" t="s">
        <v>57</v>
      </c>
      <c r="T18" s="69" t="s">
        <v>58</v>
      </c>
      <c r="U18" s="70" t="s">
        <v>56</v>
      </c>
      <c r="V18" s="70" t="s">
        <v>56</v>
      </c>
      <c r="W18" s="70" t="s">
        <v>56</v>
      </c>
      <c r="X18" s="70" t="s">
        <v>56</v>
      </c>
      <c r="Y18" s="65" t="s">
        <v>56</v>
      </c>
      <c r="Z18" s="65" t="s">
        <v>56</v>
      </c>
      <c r="AA18" s="68">
        <v>103</v>
      </c>
      <c r="AB18" s="71">
        <v>103</v>
      </c>
    </row>
    <row r="19" spans="1:28" x14ac:dyDescent="0.25">
      <c r="A19" s="62" t="s">
        <v>94</v>
      </c>
      <c r="B19" s="63" t="s">
        <v>95</v>
      </c>
      <c r="C19" s="62" t="s">
        <v>96</v>
      </c>
      <c r="D19" s="64"/>
      <c r="E19" s="65">
        <v>15</v>
      </c>
      <c r="F19" s="66" t="s">
        <v>53</v>
      </c>
      <c r="G19" s="66">
        <v>18</v>
      </c>
      <c r="H19" s="66">
        <v>19</v>
      </c>
      <c r="I19" s="66">
        <v>20</v>
      </c>
      <c r="J19" s="66">
        <v>21</v>
      </c>
      <c r="K19" s="66">
        <v>0</v>
      </c>
      <c r="L19" s="66" t="s">
        <v>54</v>
      </c>
      <c r="M19" s="67"/>
      <c r="N19" s="65">
        <v>32.4</v>
      </c>
      <c r="O19" s="65">
        <v>34</v>
      </c>
      <c r="P19" s="68">
        <v>0</v>
      </c>
      <c r="Q19" s="65" t="s">
        <v>56</v>
      </c>
      <c r="R19" s="65" t="s">
        <v>56</v>
      </c>
      <c r="S19" s="66" t="s">
        <v>57</v>
      </c>
      <c r="T19" s="69" t="s">
        <v>58</v>
      </c>
      <c r="U19" s="70" t="s">
        <v>56</v>
      </c>
      <c r="V19" s="70" t="s">
        <v>56</v>
      </c>
      <c r="W19" s="70" t="s">
        <v>56</v>
      </c>
      <c r="X19" s="70" t="s">
        <v>56</v>
      </c>
      <c r="Y19" s="65" t="s">
        <v>56</v>
      </c>
      <c r="Z19" s="65" t="s">
        <v>56</v>
      </c>
      <c r="AA19" s="68">
        <v>103</v>
      </c>
      <c r="AB19" s="71">
        <v>103</v>
      </c>
    </row>
    <row r="20" spans="1:28" x14ac:dyDescent="0.25">
      <c r="A20" s="62" t="s">
        <v>97</v>
      </c>
      <c r="B20" s="63" t="s">
        <v>98</v>
      </c>
      <c r="C20" s="62" t="s">
        <v>66</v>
      </c>
      <c r="D20" s="64"/>
      <c r="E20" s="65">
        <v>5</v>
      </c>
      <c r="F20" s="66" t="s">
        <v>53</v>
      </c>
      <c r="G20" s="66">
        <v>17</v>
      </c>
      <c r="H20" s="66">
        <v>18</v>
      </c>
      <c r="I20" s="66">
        <v>19</v>
      </c>
      <c r="J20" s="66">
        <v>20</v>
      </c>
      <c r="K20" s="66">
        <v>0</v>
      </c>
      <c r="L20" s="66" t="s">
        <v>54</v>
      </c>
      <c r="M20" s="67"/>
      <c r="N20" s="65">
        <v>32.4</v>
      </c>
      <c r="O20" s="65">
        <v>34</v>
      </c>
      <c r="P20" s="68">
        <v>0</v>
      </c>
      <c r="Q20" s="65" t="s">
        <v>56</v>
      </c>
      <c r="R20" s="65" t="s">
        <v>56</v>
      </c>
      <c r="S20" s="66" t="s">
        <v>57</v>
      </c>
      <c r="T20" s="69" t="s">
        <v>58</v>
      </c>
      <c r="U20" s="70" t="s">
        <v>56</v>
      </c>
      <c r="V20" s="70" t="s">
        <v>56</v>
      </c>
      <c r="W20" s="70" t="s">
        <v>56</v>
      </c>
      <c r="X20" s="70" t="s">
        <v>56</v>
      </c>
      <c r="Y20" s="65" t="s">
        <v>56</v>
      </c>
      <c r="Z20" s="65" t="s">
        <v>56</v>
      </c>
      <c r="AA20" s="68">
        <v>103</v>
      </c>
      <c r="AB20" s="71">
        <v>103</v>
      </c>
    </row>
    <row r="21" spans="1:28" x14ac:dyDescent="0.25">
      <c r="A21" s="62" t="s">
        <v>99</v>
      </c>
      <c r="B21" s="63" t="s">
        <v>100</v>
      </c>
      <c r="C21" s="62" t="s">
        <v>66</v>
      </c>
      <c r="D21" s="64"/>
      <c r="E21" s="65">
        <v>5</v>
      </c>
      <c r="F21" s="66" t="s">
        <v>53</v>
      </c>
      <c r="G21" s="66">
        <v>17</v>
      </c>
      <c r="H21" s="66">
        <v>18</v>
      </c>
      <c r="I21" s="66">
        <v>19</v>
      </c>
      <c r="J21" s="66">
        <v>20</v>
      </c>
      <c r="K21" s="66">
        <v>0</v>
      </c>
      <c r="L21" s="66" t="s">
        <v>54</v>
      </c>
      <c r="M21" s="67"/>
      <c r="N21" s="65">
        <v>32.4</v>
      </c>
      <c r="O21" s="65">
        <v>34</v>
      </c>
      <c r="P21" s="68">
        <v>0</v>
      </c>
      <c r="Q21" s="65" t="s">
        <v>56</v>
      </c>
      <c r="R21" s="65" t="s">
        <v>56</v>
      </c>
      <c r="S21" s="66" t="s">
        <v>57</v>
      </c>
      <c r="T21" s="69" t="s">
        <v>58</v>
      </c>
      <c r="U21" s="70" t="s">
        <v>56</v>
      </c>
      <c r="V21" s="70" t="s">
        <v>56</v>
      </c>
      <c r="W21" s="70" t="s">
        <v>56</v>
      </c>
      <c r="X21" s="70" t="s">
        <v>56</v>
      </c>
      <c r="Y21" s="65" t="s">
        <v>56</v>
      </c>
      <c r="Z21" s="65" t="s">
        <v>56</v>
      </c>
      <c r="AA21" s="68">
        <v>103</v>
      </c>
      <c r="AB21" s="71">
        <v>103</v>
      </c>
    </row>
    <row r="22" spans="1:28" x14ac:dyDescent="0.25">
      <c r="A22" s="62" t="s">
        <v>101</v>
      </c>
      <c r="B22" s="63" t="s">
        <v>102</v>
      </c>
      <c r="C22" s="62" t="s">
        <v>81</v>
      </c>
      <c r="D22" s="64"/>
      <c r="E22" s="65">
        <v>0.2</v>
      </c>
      <c r="F22" s="66" t="s">
        <v>71</v>
      </c>
      <c r="G22" s="66">
        <v>13</v>
      </c>
      <c r="H22" s="66">
        <v>15</v>
      </c>
      <c r="I22" s="66">
        <v>13</v>
      </c>
      <c r="J22" s="66">
        <v>15</v>
      </c>
      <c r="K22" s="66">
        <v>0</v>
      </c>
      <c r="L22" s="66" t="s">
        <v>82</v>
      </c>
      <c r="M22" s="67"/>
      <c r="N22" s="65">
        <v>36</v>
      </c>
      <c r="O22" s="65">
        <v>46</v>
      </c>
      <c r="P22" s="68">
        <v>0</v>
      </c>
      <c r="Q22" s="65">
        <v>4.0999999999999996</v>
      </c>
      <c r="R22" s="65" t="e">
        <v>#N/A</v>
      </c>
      <c r="S22" s="66" t="s">
        <v>57</v>
      </c>
      <c r="T22" s="72" t="s">
        <v>103</v>
      </c>
      <c r="U22" s="73">
        <v>0.30599999999999999</v>
      </c>
      <c r="V22" s="73">
        <v>0.315</v>
      </c>
      <c r="W22" s="73">
        <v>0.89100000000000001</v>
      </c>
      <c r="X22" s="73">
        <v>0.9</v>
      </c>
      <c r="Y22" s="74">
        <v>5.67</v>
      </c>
      <c r="Z22" s="74">
        <v>17.53</v>
      </c>
      <c r="AA22" s="68">
        <v>40</v>
      </c>
      <c r="AB22" s="71">
        <v>90</v>
      </c>
    </row>
    <row r="23" spans="1:28" x14ac:dyDescent="0.25">
      <c r="A23" s="62" t="s">
        <v>104</v>
      </c>
      <c r="B23" s="63" t="s">
        <v>102</v>
      </c>
      <c r="C23" s="62" t="s">
        <v>52</v>
      </c>
      <c r="D23" s="64"/>
      <c r="E23" s="65">
        <v>8</v>
      </c>
      <c r="F23" s="66" t="s">
        <v>53</v>
      </c>
      <c r="G23" s="66">
        <v>18</v>
      </c>
      <c r="H23" s="66">
        <v>19</v>
      </c>
      <c r="I23" s="66">
        <v>20</v>
      </c>
      <c r="J23" s="66">
        <v>21</v>
      </c>
      <c r="K23" s="66">
        <v>0</v>
      </c>
      <c r="L23" s="66" t="s">
        <v>61</v>
      </c>
      <c r="M23" s="67"/>
      <c r="N23" s="65">
        <v>29.9</v>
      </c>
      <c r="O23" s="65">
        <v>32</v>
      </c>
      <c r="P23" s="68">
        <v>0</v>
      </c>
      <c r="Q23" s="65" t="s">
        <v>56</v>
      </c>
      <c r="R23" s="65" t="s">
        <v>56</v>
      </c>
      <c r="S23" s="66" t="s">
        <v>57</v>
      </c>
      <c r="T23" s="69" t="s">
        <v>58</v>
      </c>
      <c r="U23" s="70" t="s">
        <v>56</v>
      </c>
      <c r="V23" s="70" t="s">
        <v>56</v>
      </c>
      <c r="W23" s="70" t="s">
        <v>56</v>
      </c>
      <c r="X23" s="70" t="s">
        <v>56</v>
      </c>
      <c r="Y23" s="65" t="s">
        <v>56</v>
      </c>
      <c r="Z23" s="65" t="s">
        <v>56</v>
      </c>
      <c r="AA23" s="68">
        <v>103</v>
      </c>
      <c r="AB23" s="71">
        <v>103</v>
      </c>
    </row>
    <row r="24" spans="1:28" x14ac:dyDescent="0.25">
      <c r="A24" s="62" t="s">
        <v>105</v>
      </c>
      <c r="B24" s="63" t="s">
        <v>106</v>
      </c>
      <c r="C24" s="62" t="s">
        <v>70</v>
      </c>
      <c r="D24" s="64"/>
      <c r="E24" s="65">
        <v>0.7</v>
      </c>
      <c r="F24" s="66" t="s">
        <v>71</v>
      </c>
      <c r="G24" s="66">
        <v>15</v>
      </c>
      <c r="H24" s="66">
        <v>18</v>
      </c>
      <c r="I24" s="66">
        <v>15</v>
      </c>
      <c r="J24" s="66">
        <v>18</v>
      </c>
      <c r="K24" s="66">
        <v>0</v>
      </c>
      <c r="L24" s="66" t="s">
        <v>72</v>
      </c>
      <c r="M24" s="67"/>
      <c r="N24" s="65">
        <v>29.9</v>
      </c>
      <c r="O24" s="65">
        <v>32</v>
      </c>
      <c r="P24" s="68">
        <v>0</v>
      </c>
      <c r="Q24" s="65">
        <v>8</v>
      </c>
      <c r="R24" s="65" t="e">
        <v>#N/A</v>
      </c>
      <c r="S24" s="66" t="s">
        <v>57</v>
      </c>
      <c r="T24" s="72" t="s">
        <v>107</v>
      </c>
      <c r="U24" s="73">
        <v>0.25900000000000001</v>
      </c>
      <c r="V24" s="73">
        <v>0.26200000000000001</v>
      </c>
      <c r="W24" s="73">
        <v>0.89200000000000002</v>
      </c>
      <c r="X24" s="73">
        <v>0.9</v>
      </c>
      <c r="Y24" s="74">
        <v>28.42</v>
      </c>
      <c r="Z24" s="74">
        <v>48.51</v>
      </c>
      <c r="AA24" s="68">
        <v>40</v>
      </c>
      <c r="AB24" s="71">
        <v>90</v>
      </c>
    </row>
    <row r="25" spans="1:28" x14ac:dyDescent="0.25">
      <c r="A25" s="62" t="s">
        <v>108</v>
      </c>
      <c r="B25" s="63" t="s">
        <v>106</v>
      </c>
      <c r="C25" s="62" t="s">
        <v>52</v>
      </c>
      <c r="D25" s="64"/>
      <c r="E25" s="65">
        <v>8</v>
      </c>
      <c r="F25" s="66" t="s">
        <v>53</v>
      </c>
      <c r="G25" s="66">
        <v>18</v>
      </c>
      <c r="H25" s="66">
        <v>19</v>
      </c>
      <c r="I25" s="66">
        <v>20</v>
      </c>
      <c r="J25" s="66">
        <v>21</v>
      </c>
      <c r="K25" s="66">
        <v>0</v>
      </c>
      <c r="L25" s="66" t="s">
        <v>61</v>
      </c>
      <c r="M25" s="67"/>
      <c r="N25" s="65">
        <v>29.9</v>
      </c>
      <c r="O25" s="65">
        <v>32</v>
      </c>
      <c r="P25" s="68">
        <v>0</v>
      </c>
      <c r="Q25" s="65" t="s">
        <v>56</v>
      </c>
      <c r="R25" s="65" t="s">
        <v>56</v>
      </c>
      <c r="S25" s="66" t="s">
        <v>57</v>
      </c>
      <c r="T25" s="69" t="s">
        <v>58</v>
      </c>
      <c r="U25" s="70" t="s">
        <v>56</v>
      </c>
      <c r="V25" s="70" t="s">
        <v>56</v>
      </c>
      <c r="W25" s="70" t="s">
        <v>56</v>
      </c>
      <c r="X25" s="70" t="s">
        <v>56</v>
      </c>
      <c r="Y25" s="65" t="s">
        <v>56</v>
      </c>
      <c r="Z25" s="65" t="s">
        <v>56</v>
      </c>
      <c r="AA25" s="68">
        <v>103</v>
      </c>
      <c r="AB25" s="71">
        <v>103</v>
      </c>
    </row>
    <row r="26" spans="1:28" x14ac:dyDescent="0.25">
      <c r="A26" s="62" t="s">
        <v>109</v>
      </c>
      <c r="B26" s="63" t="s">
        <v>110</v>
      </c>
      <c r="C26" s="62" t="s">
        <v>111</v>
      </c>
      <c r="D26" s="64"/>
      <c r="E26" s="65">
        <v>0.5</v>
      </c>
      <c r="F26" s="66" t="s">
        <v>71</v>
      </c>
      <c r="G26" s="66">
        <v>14</v>
      </c>
      <c r="H26" s="66">
        <v>17</v>
      </c>
      <c r="I26" s="66">
        <v>14</v>
      </c>
      <c r="J26" s="66">
        <v>17</v>
      </c>
      <c r="K26" s="66">
        <v>0</v>
      </c>
      <c r="L26" s="66" t="s">
        <v>78</v>
      </c>
      <c r="M26" s="67"/>
      <c r="N26" s="65">
        <v>34</v>
      </c>
      <c r="O26" s="65">
        <v>42</v>
      </c>
      <c r="P26" s="68">
        <v>0</v>
      </c>
      <c r="Q26" s="65">
        <v>6</v>
      </c>
      <c r="R26" s="65" t="e">
        <v>#N/A</v>
      </c>
      <c r="S26" s="66" t="s">
        <v>57</v>
      </c>
      <c r="T26" s="72" t="s">
        <v>112</v>
      </c>
      <c r="U26" s="73">
        <v>0.28100000000000003</v>
      </c>
      <c r="V26" s="73">
        <v>0.28999999999999998</v>
      </c>
      <c r="W26" s="73">
        <v>0.89200000000000002</v>
      </c>
      <c r="X26" s="73">
        <v>0.9</v>
      </c>
      <c r="Y26" s="74">
        <v>11.57</v>
      </c>
      <c r="Z26" s="74">
        <v>21.92</v>
      </c>
      <c r="AA26" s="68">
        <v>40</v>
      </c>
      <c r="AB26" s="71">
        <v>90</v>
      </c>
    </row>
    <row r="27" spans="1:28" ht="45" x14ac:dyDescent="0.25">
      <c r="A27" s="62" t="s">
        <v>113</v>
      </c>
      <c r="B27" s="63" t="s">
        <v>110</v>
      </c>
      <c r="C27" s="62" t="s">
        <v>52</v>
      </c>
      <c r="D27" s="64" t="s">
        <v>114</v>
      </c>
      <c r="E27" s="65">
        <v>8</v>
      </c>
      <c r="F27" s="66" t="s">
        <v>53</v>
      </c>
      <c r="G27" s="66">
        <v>18</v>
      </c>
      <c r="H27" s="66">
        <v>19</v>
      </c>
      <c r="I27" s="66">
        <v>20</v>
      </c>
      <c r="J27" s="66">
        <v>21</v>
      </c>
      <c r="K27" s="66">
        <v>0</v>
      </c>
      <c r="L27" s="66" t="s">
        <v>61</v>
      </c>
      <c r="M27" s="67"/>
      <c r="N27" s="65">
        <v>29.9</v>
      </c>
      <c r="O27" s="65">
        <v>32</v>
      </c>
      <c r="P27" s="68">
        <v>0</v>
      </c>
      <c r="Q27" s="65" t="s">
        <v>56</v>
      </c>
      <c r="R27" s="65" t="s">
        <v>56</v>
      </c>
      <c r="S27" s="66" t="s">
        <v>57</v>
      </c>
      <c r="T27" s="69" t="s">
        <v>58</v>
      </c>
      <c r="U27" s="70" t="s">
        <v>56</v>
      </c>
      <c r="V27" s="70" t="s">
        <v>56</v>
      </c>
      <c r="W27" s="70" t="s">
        <v>56</v>
      </c>
      <c r="X27" s="70" t="s">
        <v>56</v>
      </c>
      <c r="Y27" s="65" t="s">
        <v>56</v>
      </c>
      <c r="Z27" s="65" t="s">
        <v>56</v>
      </c>
      <c r="AA27" s="68">
        <v>103</v>
      </c>
      <c r="AB27" s="71">
        <v>103</v>
      </c>
    </row>
    <row r="28" spans="1:28" x14ac:dyDescent="0.25">
      <c r="A28" s="62" t="s">
        <v>115</v>
      </c>
      <c r="B28" s="63" t="s">
        <v>116</v>
      </c>
      <c r="C28" s="62" t="s">
        <v>81</v>
      </c>
      <c r="D28" s="64"/>
      <c r="E28" s="65">
        <v>0.2</v>
      </c>
      <c r="F28" s="66" t="s">
        <v>71</v>
      </c>
      <c r="G28" s="66">
        <v>13</v>
      </c>
      <c r="H28" s="66">
        <v>15</v>
      </c>
      <c r="I28" s="66">
        <v>13</v>
      </c>
      <c r="J28" s="66">
        <v>15</v>
      </c>
      <c r="K28" s="66">
        <v>0</v>
      </c>
      <c r="L28" s="66" t="s">
        <v>82</v>
      </c>
      <c r="M28" s="67"/>
      <c r="N28" s="65">
        <v>36</v>
      </c>
      <c r="O28" s="65">
        <v>46</v>
      </c>
      <c r="P28" s="68">
        <v>0</v>
      </c>
      <c r="Q28" s="65">
        <v>4.0999999999999996</v>
      </c>
      <c r="R28" s="65" t="e">
        <v>#N/A</v>
      </c>
      <c r="S28" s="66" t="s">
        <v>57</v>
      </c>
      <c r="T28" s="72" t="s">
        <v>115</v>
      </c>
      <c r="U28" s="73">
        <v>0.30599999999999999</v>
      </c>
      <c r="V28" s="73">
        <v>0.315</v>
      </c>
      <c r="W28" s="73">
        <v>0.89100000000000001</v>
      </c>
      <c r="X28" s="73">
        <v>0.9</v>
      </c>
      <c r="Y28" s="74">
        <v>5.67</v>
      </c>
      <c r="Z28" s="74">
        <v>17.53</v>
      </c>
      <c r="AA28" s="68">
        <v>40</v>
      </c>
      <c r="AB28" s="71">
        <v>90</v>
      </c>
    </row>
    <row r="29" spans="1:28" x14ac:dyDescent="0.25">
      <c r="A29" s="62" t="s">
        <v>117</v>
      </c>
      <c r="B29" s="63" t="s">
        <v>118</v>
      </c>
      <c r="C29" s="62" t="s">
        <v>81</v>
      </c>
      <c r="D29" s="64"/>
      <c r="E29" s="65">
        <v>0.2</v>
      </c>
      <c r="F29" s="66" t="s">
        <v>71</v>
      </c>
      <c r="G29" s="66">
        <v>13</v>
      </c>
      <c r="H29" s="66">
        <v>15</v>
      </c>
      <c r="I29" s="66">
        <v>13</v>
      </c>
      <c r="J29" s="66">
        <v>15</v>
      </c>
      <c r="K29" s="66">
        <v>0</v>
      </c>
      <c r="L29" s="66" t="s">
        <v>82</v>
      </c>
      <c r="M29" s="67"/>
      <c r="N29" s="65">
        <v>36</v>
      </c>
      <c r="O29" s="65">
        <v>46</v>
      </c>
      <c r="P29" s="68">
        <v>0</v>
      </c>
      <c r="Q29" s="65">
        <v>4.0999999999999996</v>
      </c>
      <c r="R29" s="65" t="e">
        <v>#N/A</v>
      </c>
      <c r="S29" s="66" t="s">
        <v>57</v>
      </c>
      <c r="T29" s="72" t="s">
        <v>117</v>
      </c>
      <c r="U29" s="73">
        <v>0.30599999999999999</v>
      </c>
      <c r="V29" s="73">
        <v>0.315</v>
      </c>
      <c r="W29" s="73">
        <v>0.89100000000000001</v>
      </c>
      <c r="X29" s="73">
        <v>0.9</v>
      </c>
      <c r="Y29" s="74">
        <v>5.67</v>
      </c>
      <c r="Z29" s="74">
        <v>17.53</v>
      </c>
      <c r="AA29" s="68">
        <v>40</v>
      </c>
      <c r="AB29" s="71">
        <v>90</v>
      </c>
    </row>
    <row r="30" spans="1:28" x14ac:dyDescent="0.25">
      <c r="A30" s="62" t="s">
        <v>119</v>
      </c>
      <c r="B30" s="63" t="s">
        <v>120</v>
      </c>
      <c r="C30" s="62" t="s">
        <v>121</v>
      </c>
      <c r="D30" s="64"/>
      <c r="E30" s="65">
        <v>0.1</v>
      </c>
      <c r="F30" s="66" t="s">
        <v>71</v>
      </c>
      <c r="G30" s="66">
        <v>10</v>
      </c>
      <c r="H30" s="66">
        <v>12</v>
      </c>
      <c r="I30" s="66">
        <v>10</v>
      </c>
      <c r="J30" s="66">
        <v>12</v>
      </c>
      <c r="K30" s="66">
        <v>0</v>
      </c>
      <c r="L30" s="66" t="s">
        <v>122</v>
      </c>
      <c r="M30" s="67"/>
      <c r="N30" s="65">
        <v>30</v>
      </c>
      <c r="O30" s="65">
        <v>44</v>
      </c>
      <c r="P30" s="68">
        <v>0</v>
      </c>
      <c r="Q30" s="65">
        <v>3.4</v>
      </c>
      <c r="R30" s="65" t="e">
        <v>#N/A</v>
      </c>
      <c r="S30" s="66" t="s">
        <v>57</v>
      </c>
      <c r="T30" s="72" t="s">
        <v>119</v>
      </c>
      <c r="U30" s="73">
        <v>0.311</v>
      </c>
      <c r="V30" s="73">
        <v>0.32</v>
      </c>
      <c r="W30" s="73">
        <v>0.89100000000000001</v>
      </c>
      <c r="X30" s="73">
        <v>0.9</v>
      </c>
      <c r="Y30" s="74">
        <v>13.43</v>
      </c>
      <c r="Z30" s="74">
        <v>25.54</v>
      </c>
      <c r="AA30" s="68">
        <v>35</v>
      </c>
      <c r="AB30" s="71">
        <v>45</v>
      </c>
    </row>
    <row r="31" spans="1:28" x14ac:dyDescent="0.25">
      <c r="A31" s="62" t="s">
        <v>123</v>
      </c>
      <c r="B31" s="63" t="s">
        <v>122</v>
      </c>
      <c r="C31" s="62" t="s">
        <v>121</v>
      </c>
      <c r="D31" s="75" t="s">
        <v>124</v>
      </c>
      <c r="E31" s="65">
        <v>0.1</v>
      </c>
      <c r="F31" s="66" t="s">
        <v>71</v>
      </c>
      <c r="G31" s="66">
        <v>10</v>
      </c>
      <c r="H31" s="66">
        <v>12</v>
      </c>
      <c r="I31" s="66">
        <v>10</v>
      </c>
      <c r="J31" s="66">
        <v>12</v>
      </c>
      <c r="K31" s="66">
        <v>0</v>
      </c>
      <c r="L31" s="66" t="s">
        <v>122</v>
      </c>
      <c r="M31" s="67"/>
      <c r="N31" s="65">
        <v>30</v>
      </c>
      <c r="O31" s="65">
        <v>44</v>
      </c>
      <c r="P31" s="68">
        <v>0</v>
      </c>
      <c r="Q31" s="65">
        <v>3.4</v>
      </c>
      <c r="R31" s="65" t="e">
        <v>#N/A</v>
      </c>
      <c r="S31" s="66" t="s">
        <v>57</v>
      </c>
      <c r="T31" s="72" t="s">
        <v>123</v>
      </c>
      <c r="U31" s="73">
        <v>0.39100000000000001</v>
      </c>
      <c r="V31" s="73">
        <v>0.39500000000000002</v>
      </c>
      <c r="W31" s="73">
        <v>0.89200000000000002</v>
      </c>
      <c r="X31" s="73">
        <v>0.9</v>
      </c>
      <c r="Y31" s="74">
        <v>5.54</v>
      </c>
      <c r="Z31" s="74">
        <v>14.88</v>
      </c>
      <c r="AA31" s="68">
        <v>35</v>
      </c>
      <c r="AB31" s="71">
        <v>45</v>
      </c>
    </row>
    <row r="32" spans="1:28" x14ac:dyDescent="0.25">
      <c r="A32" s="62" t="s">
        <v>125</v>
      </c>
      <c r="B32" s="63" t="s">
        <v>126</v>
      </c>
      <c r="C32" s="62" t="s">
        <v>121</v>
      </c>
      <c r="D32" s="64"/>
      <c r="E32" s="65">
        <v>0.1</v>
      </c>
      <c r="F32" s="66" t="s">
        <v>71</v>
      </c>
      <c r="G32" s="66">
        <v>10</v>
      </c>
      <c r="H32" s="66">
        <v>12</v>
      </c>
      <c r="I32" s="66">
        <v>10</v>
      </c>
      <c r="J32" s="66">
        <v>12</v>
      </c>
      <c r="K32" s="66">
        <v>0</v>
      </c>
      <c r="L32" s="66" t="s">
        <v>122</v>
      </c>
      <c r="M32" s="67"/>
      <c r="N32" s="65">
        <v>30</v>
      </c>
      <c r="O32" s="65">
        <v>44</v>
      </c>
      <c r="P32" s="68">
        <v>0</v>
      </c>
      <c r="Q32" s="65">
        <v>3.4</v>
      </c>
      <c r="R32" s="65" t="e">
        <v>#N/A</v>
      </c>
      <c r="S32" s="66" t="s">
        <v>57</v>
      </c>
      <c r="T32" s="72" t="s">
        <v>125</v>
      </c>
      <c r="U32" s="73">
        <v>0.3</v>
      </c>
      <c r="V32" s="73">
        <v>0.31</v>
      </c>
      <c r="W32" s="73">
        <v>0.8</v>
      </c>
      <c r="X32" s="73">
        <v>0.9</v>
      </c>
      <c r="Y32" s="74">
        <v>15</v>
      </c>
      <c r="Z32" s="74">
        <v>25</v>
      </c>
      <c r="AA32" s="68">
        <v>35</v>
      </c>
      <c r="AB32" s="71">
        <v>90</v>
      </c>
    </row>
    <row r="33" spans="1:28" ht="45" x14ac:dyDescent="0.25">
      <c r="A33" s="62" t="s">
        <v>127</v>
      </c>
      <c r="B33" s="63" t="s">
        <v>128</v>
      </c>
      <c r="C33" s="62" t="s">
        <v>121</v>
      </c>
      <c r="D33" s="64" t="s">
        <v>129</v>
      </c>
      <c r="E33" s="65">
        <v>0.1</v>
      </c>
      <c r="F33" s="66" t="s">
        <v>71</v>
      </c>
      <c r="G33" s="66">
        <v>10</v>
      </c>
      <c r="H33" s="66">
        <v>12</v>
      </c>
      <c r="I33" s="66">
        <v>10</v>
      </c>
      <c r="J33" s="66">
        <v>12</v>
      </c>
      <c r="K33" s="66">
        <v>0</v>
      </c>
      <c r="L33" s="66" t="s">
        <v>122</v>
      </c>
      <c r="M33" s="67"/>
      <c r="N33" s="65">
        <v>30</v>
      </c>
      <c r="O33" s="65">
        <v>44</v>
      </c>
      <c r="P33" s="68">
        <v>0</v>
      </c>
      <c r="Q33" s="65">
        <v>3.4</v>
      </c>
      <c r="R33" s="65" t="e">
        <v>#N/A</v>
      </c>
      <c r="S33" s="66" t="s">
        <v>57</v>
      </c>
      <c r="T33" s="72" t="s">
        <v>127</v>
      </c>
      <c r="U33" s="73">
        <v>0.311</v>
      </c>
      <c r="V33" s="73">
        <v>0.32</v>
      </c>
      <c r="W33" s="73">
        <v>0.89100000000000001</v>
      </c>
      <c r="X33" s="73">
        <v>0.9</v>
      </c>
      <c r="Y33" s="74">
        <v>13.43</v>
      </c>
      <c r="Z33" s="74">
        <v>25.54</v>
      </c>
      <c r="AA33" s="68">
        <v>35</v>
      </c>
      <c r="AB33" s="71">
        <v>90</v>
      </c>
    </row>
    <row r="34" spans="1:28" x14ac:dyDescent="0.25">
      <c r="A34" s="62" t="s">
        <v>130</v>
      </c>
      <c r="B34" s="63" t="s">
        <v>131</v>
      </c>
      <c r="C34" s="62" t="s">
        <v>66</v>
      </c>
      <c r="D34" s="64"/>
      <c r="E34" s="65">
        <v>5</v>
      </c>
      <c r="F34" s="66" t="s">
        <v>53</v>
      </c>
      <c r="G34" s="66">
        <v>17</v>
      </c>
      <c r="H34" s="66">
        <v>18</v>
      </c>
      <c r="I34" s="66">
        <v>19</v>
      </c>
      <c r="J34" s="66">
        <v>20</v>
      </c>
      <c r="K34" s="66">
        <v>0</v>
      </c>
      <c r="L34" s="66" t="s">
        <v>54</v>
      </c>
      <c r="M34" s="67"/>
      <c r="N34" s="65">
        <v>32.4</v>
      </c>
      <c r="O34" s="65">
        <v>34</v>
      </c>
      <c r="P34" s="68">
        <v>0</v>
      </c>
      <c r="Q34" s="65" t="s">
        <v>56</v>
      </c>
      <c r="R34" s="65" t="s">
        <v>56</v>
      </c>
      <c r="S34" s="66" t="s">
        <v>57</v>
      </c>
      <c r="T34" s="69" t="s">
        <v>58</v>
      </c>
      <c r="U34" s="70" t="s">
        <v>56</v>
      </c>
      <c r="V34" s="70" t="s">
        <v>56</v>
      </c>
      <c r="W34" s="70" t="s">
        <v>56</v>
      </c>
      <c r="X34" s="70" t="s">
        <v>56</v>
      </c>
      <c r="Y34" s="65" t="s">
        <v>56</v>
      </c>
      <c r="Z34" s="65" t="s">
        <v>56</v>
      </c>
      <c r="AA34" s="68">
        <v>103</v>
      </c>
      <c r="AB34" s="71">
        <v>103</v>
      </c>
    </row>
    <row r="35" spans="1:28" x14ac:dyDescent="0.25">
      <c r="A35" s="62" t="s">
        <v>132</v>
      </c>
      <c r="B35" s="63" t="s">
        <v>133</v>
      </c>
      <c r="C35" s="62" t="s">
        <v>52</v>
      </c>
      <c r="D35" s="64"/>
      <c r="E35" s="65">
        <v>8</v>
      </c>
      <c r="F35" s="66" t="s">
        <v>53</v>
      </c>
      <c r="G35" s="66">
        <v>18</v>
      </c>
      <c r="H35" s="66">
        <v>19</v>
      </c>
      <c r="I35" s="66">
        <v>20</v>
      </c>
      <c r="J35" s="66">
        <v>21</v>
      </c>
      <c r="K35" s="66">
        <v>0</v>
      </c>
      <c r="L35" s="66" t="s">
        <v>61</v>
      </c>
      <c r="M35" s="67"/>
      <c r="N35" s="65">
        <v>29.9</v>
      </c>
      <c r="O35" s="65">
        <v>32</v>
      </c>
      <c r="P35" s="68">
        <v>0</v>
      </c>
      <c r="Q35" s="65" t="s">
        <v>56</v>
      </c>
      <c r="R35" s="65" t="s">
        <v>56</v>
      </c>
      <c r="S35" s="66" t="s">
        <v>57</v>
      </c>
      <c r="T35" s="69" t="s">
        <v>58</v>
      </c>
      <c r="U35" s="70" t="s">
        <v>56</v>
      </c>
      <c r="V35" s="70" t="s">
        <v>56</v>
      </c>
      <c r="W35" s="70" t="s">
        <v>56</v>
      </c>
      <c r="X35" s="70" t="s">
        <v>56</v>
      </c>
      <c r="Y35" s="65" t="s">
        <v>56</v>
      </c>
      <c r="Z35" s="65" t="s">
        <v>56</v>
      </c>
      <c r="AA35" s="68">
        <v>103</v>
      </c>
      <c r="AB35" s="71">
        <v>103</v>
      </c>
    </row>
    <row r="36" spans="1:28" x14ac:dyDescent="0.25">
      <c r="A36" s="62" t="s">
        <v>134</v>
      </c>
      <c r="B36" s="63" t="s">
        <v>135</v>
      </c>
      <c r="C36" s="62" t="s">
        <v>66</v>
      </c>
      <c r="D36" s="64"/>
      <c r="E36" s="65">
        <v>5</v>
      </c>
      <c r="F36" s="66" t="s">
        <v>53</v>
      </c>
      <c r="G36" s="66">
        <v>17</v>
      </c>
      <c r="H36" s="66">
        <v>18</v>
      </c>
      <c r="I36" s="66">
        <v>19</v>
      </c>
      <c r="J36" s="66">
        <v>20</v>
      </c>
      <c r="K36" s="66">
        <v>0</v>
      </c>
      <c r="L36" s="66" t="s">
        <v>136</v>
      </c>
      <c r="M36" s="67"/>
      <c r="N36" s="65">
        <v>30</v>
      </c>
      <c r="O36" s="65">
        <v>32</v>
      </c>
      <c r="P36" s="68">
        <v>0</v>
      </c>
      <c r="Q36" s="65" t="s">
        <v>56</v>
      </c>
      <c r="R36" s="65" t="s">
        <v>56</v>
      </c>
      <c r="S36" s="66" t="s">
        <v>57</v>
      </c>
      <c r="T36" s="69" t="s">
        <v>58</v>
      </c>
      <c r="U36" s="70" t="s">
        <v>56</v>
      </c>
      <c r="V36" s="70" t="s">
        <v>56</v>
      </c>
      <c r="W36" s="70" t="s">
        <v>56</v>
      </c>
      <c r="X36" s="70" t="s">
        <v>56</v>
      </c>
      <c r="Y36" s="65" t="s">
        <v>56</v>
      </c>
      <c r="Z36" s="65" t="s">
        <v>56</v>
      </c>
      <c r="AA36" s="68">
        <v>103</v>
      </c>
      <c r="AB36" s="71">
        <v>103</v>
      </c>
    </row>
    <row r="37" spans="1:28" x14ac:dyDescent="0.25">
      <c r="A37" s="62" t="s">
        <v>137</v>
      </c>
      <c r="B37" s="63" t="s">
        <v>138</v>
      </c>
      <c r="C37" s="62" t="s">
        <v>70</v>
      </c>
      <c r="D37" s="64"/>
      <c r="E37" s="65">
        <v>0.7</v>
      </c>
      <c r="F37" s="66" t="s">
        <v>71</v>
      </c>
      <c r="G37" s="66">
        <v>15</v>
      </c>
      <c r="H37" s="66">
        <v>18</v>
      </c>
      <c r="I37" s="66">
        <v>15</v>
      </c>
      <c r="J37" s="66">
        <v>18</v>
      </c>
      <c r="K37" s="66">
        <v>0</v>
      </c>
      <c r="L37" s="66" t="s">
        <v>139</v>
      </c>
      <c r="M37" s="67"/>
      <c r="N37" s="65">
        <v>29.9</v>
      </c>
      <c r="O37" s="65">
        <v>32</v>
      </c>
      <c r="P37" s="68">
        <v>0</v>
      </c>
      <c r="Q37" s="65">
        <v>8</v>
      </c>
      <c r="R37" s="65" t="e">
        <v>#N/A</v>
      </c>
      <c r="S37" s="66" t="s">
        <v>57</v>
      </c>
      <c r="T37" s="72" t="s">
        <v>137</v>
      </c>
      <c r="U37" s="73">
        <v>0.30599999999999999</v>
      </c>
      <c r="V37" s="73">
        <v>0.315</v>
      </c>
      <c r="W37" s="73">
        <v>0.89100000000000001</v>
      </c>
      <c r="X37" s="73">
        <v>0.9</v>
      </c>
      <c r="Y37" s="74">
        <v>5.67</v>
      </c>
      <c r="Z37" s="74">
        <v>17.53</v>
      </c>
      <c r="AA37" s="68">
        <v>60</v>
      </c>
      <c r="AB37" s="71">
        <v>100</v>
      </c>
    </row>
    <row r="38" spans="1:28" x14ac:dyDescent="0.25">
      <c r="A38" s="62" t="s">
        <v>140</v>
      </c>
      <c r="B38" s="63" t="s">
        <v>138</v>
      </c>
      <c r="C38" s="62" t="s">
        <v>111</v>
      </c>
      <c r="D38" s="64"/>
      <c r="E38" s="65">
        <v>0.5</v>
      </c>
      <c r="F38" s="66" t="s">
        <v>71</v>
      </c>
      <c r="G38" s="66">
        <v>14</v>
      </c>
      <c r="H38" s="66">
        <v>17</v>
      </c>
      <c r="I38" s="66">
        <v>14</v>
      </c>
      <c r="J38" s="66">
        <v>17</v>
      </c>
      <c r="K38" s="66">
        <v>0</v>
      </c>
      <c r="L38" s="66" t="s">
        <v>141</v>
      </c>
      <c r="M38" s="67"/>
      <c r="N38" s="65">
        <v>34</v>
      </c>
      <c r="O38" s="65">
        <v>42</v>
      </c>
      <c r="P38" s="68">
        <v>0</v>
      </c>
      <c r="Q38" s="65">
        <v>6</v>
      </c>
      <c r="R38" s="65" t="e">
        <v>#N/A</v>
      </c>
      <c r="S38" s="66" t="s">
        <v>57</v>
      </c>
      <c r="T38" s="72" t="s">
        <v>140</v>
      </c>
      <c r="U38" s="73">
        <v>0.30599999999999999</v>
      </c>
      <c r="V38" s="73">
        <v>0.315</v>
      </c>
      <c r="W38" s="73">
        <v>0.89100000000000001</v>
      </c>
      <c r="X38" s="73">
        <v>0.9</v>
      </c>
      <c r="Y38" s="74">
        <v>5.67</v>
      </c>
      <c r="Z38" s="74">
        <v>17.53</v>
      </c>
      <c r="AA38" s="68">
        <v>60</v>
      </c>
      <c r="AB38" s="71">
        <v>100</v>
      </c>
    </row>
    <row r="39" spans="1:28" x14ac:dyDescent="0.25">
      <c r="A39" s="62" t="s">
        <v>142</v>
      </c>
      <c r="B39" s="63" t="s">
        <v>138</v>
      </c>
      <c r="C39" s="62" t="s">
        <v>81</v>
      </c>
      <c r="D39" s="64"/>
      <c r="E39" s="65">
        <v>0.2</v>
      </c>
      <c r="F39" s="66" t="s">
        <v>71</v>
      </c>
      <c r="G39" s="66">
        <v>13</v>
      </c>
      <c r="H39" s="66">
        <v>15</v>
      </c>
      <c r="I39" s="66">
        <v>13</v>
      </c>
      <c r="J39" s="66">
        <v>15</v>
      </c>
      <c r="K39" s="66">
        <v>0</v>
      </c>
      <c r="L39" s="66" t="s">
        <v>143</v>
      </c>
      <c r="M39" s="67"/>
      <c r="N39" s="65">
        <v>36</v>
      </c>
      <c r="O39" s="65">
        <v>46</v>
      </c>
      <c r="P39" s="68">
        <v>0</v>
      </c>
      <c r="Q39" s="65">
        <v>4.0999999999999996</v>
      </c>
      <c r="R39" s="65" t="e">
        <v>#N/A</v>
      </c>
      <c r="S39" s="66" t="s">
        <v>57</v>
      </c>
      <c r="T39" s="72" t="s">
        <v>142</v>
      </c>
      <c r="U39" s="73">
        <v>0.30599999999999999</v>
      </c>
      <c r="V39" s="73">
        <v>0.315</v>
      </c>
      <c r="W39" s="73">
        <v>0.89100000000000001</v>
      </c>
      <c r="X39" s="73">
        <v>0.9</v>
      </c>
      <c r="Y39" s="74">
        <v>5.67</v>
      </c>
      <c r="Z39" s="74">
        <v>17.53</v>
      </c>
      <c r="AA39" s="68">
        <v>45</v>
      </c>
      <c r="AB39" s="71">
        <v>90</v>
      </c>
    </row>
    <row r="40" spans="1:28" ht="45" x14ac:dyDescent="0.25">
      <c r="A40" s="62" t="s">
        <v>144</v>
      </c>
      <c r="B40" s="63" t="s">
        <v>145</v>
      </c>
      <c r="C40" s="62" t="s">
        <v>81</v>
      </c>
      <c r="D40" s="64" t="s">
        <v>146</v>
      </c>
      <c r="E40" s="65">
        <v>0.2</v>
      </c>
      <c r="F40" s="66" t="s">
        <v>71</v>
      </c>
      <c r="G40" s="66">
        <v>13</v>
      </c>
      <c r="H40" s="66">
        <v>15</v>
      </c>
      <c r="I40" s="66">
        <v>13</v>
      </c>
      <c r="J40" s="66">
        <v>15</v>
      </c>
      <c r="K40" s="66">
        <v>0</v>
      </c>
      <c r="L40" s="66" t="s">
        <v>147</v>
      </c>
      <c r="M40" s="67"/>
      <c r="N40" s="65">
        <v>30</v>
      </c>
      <c r="O40" s="65">
        <v>44</v>
      </c>
      <c r="P40" s="68">
        <v>0</v>
      </c>
      <c r="Q40" s="65">
        <v>4.0999999999999996</v>
      </c>
      <c r="R40" s="65" t="e">
        <v>#N/A</v>
      </c>
      <c r="S40" s="66" t="s">
        <v>57</v>
      </c>
      <c r="T40" s="72" t="s">
        <v>148</v>
      </c>
      <c r="U40" s="73">
        <v>0.30599999999999999</v>
      </c>
      <c r="V40" s="73">
        <v>0.315</v>
      </c>
      <c r="W40" s="73">
        <v>0.89100000000000001</v>
      </c>
      <c r="X40" s="73">
        <v>0.9</v>
      </c>
      <c r="Y40" s="74">
        <v>5.67</v>
      </c>
      <c r="Z40" s="74">
        <v>17.53</v>
      </c>
      <c r="AA40" s="68">
        <v>45</v>
      </c>
      <c r="AB40" s="71">
        <v>90</v>
      </c>
    </row>
    <row r="41" spans="1:28" x14ac:dyDescent="0.25">
      <c r="A41" s="62" t="s">
        <v>149</v>
      </c>
      <c r="B41" s="63" t="s">
        <v>51</v>
      </c>
      <c r="C41" s="62" t="s">
        <v>52</v>
      </c>
      <c r="D41" s="64"/>
      <c r="E41" s="65">
        <v>8</v>
      </c>
      <c r="F41" s="66" t="s">
        <v>53</v>
      </c>
      <c r="G41" s="66">
        <v>18</v>
      </c>
      <c r="H41" s="66">
        <v>19</v>
      </c>
      <c r="I41" s="66">
        <v>20</v>
      </c>
      <c r="J41" s="66">
        <v>21</v>
      </c>
      <c r="K41" s="66">
        <v>0</v>
      </c>
      <c r="L41" s="66" t="s">
        <v>61</v>
      </c>
      <c r="M41" s="67"/>
      <c r="N41" s="65">
        <v>29.9</v>
      </c>
      <c r="O41" s="65">
        <v>32</v>
      </c>
      <c r="P41" s="68">
        <v>0</v>
      </c>
      <c r="Q41" s="65" t="s">
        <v>56</v>
      </c>
      <c r="R41" s="65" t="s">
        <v>56</v>
      </c>
      <c r="S41" s="66" t="s">
        <v>57</v>
      </c>
      <c r="T41" s="69" t="s">
        <v>58</v>
      </c>
      <c r="U41" s="70" t="s">
        <v>56</v>
      </c>
      <c r="V41" s="70" t="s">
        <v>56</v>
      </c>
      <c r="W41" s="70" t="s">
        <v>56</v>
      </c>
      <c r="X41" s="70" t="s">
        <v>56</v>
      </c>
      <c r="Y41" s="65" t="s">
        <v>56</v>
      </c>
      <c r="Z41" s="65" t="s">
        <v>56</v>
      </c>
      <c r="AA41" s="68">
        <v>103</v>
      </c>
      <c r="AB41" s="71">
        <v>103</v>
      </c>
    </row>
    <row r="42" spans="1:28" x14ac:dyDescent="0.25">
      <c r="A42" s="62" t="s">
        <v>150</v>
      </c>
      <c r="B42" s="63" t="s">
        <v>151</v>
      </c>
      <c r="C42" s="62" t="s">
        <v>52</v>
      </c>
      <c r="D42" s="64"/>
      <c r="E42" s="65">
        <v>8</v>
      </c>
      <c r="F42" s="66" t="s">
        <v>53</v>
      </c>
      <c r="G42" s="66">
        <v>18</v>
      </c>
      <c r="H42" s="66">
        <v>19</v>
      </c>
      <c r="I42" s="66">
        <v>20</v>
      </c>
      <c r="J42" s="66">
        <v>21</v>
      </c>
      <c r="K42" s="66">
        <v>0</v>
      </c>
      <c r="L42" s="66" t="s">
        <v>61</v>
      </c>
      <c r="M42" s="67"/>
      <c r="N42" s="65">
        <v>29.9</v>
      </c>
      <c r="O42" s="65">
        <v>32</v>
      </c>
      <c r="P42" s="68">
        <v>0</v>
      </c>
      <c r="Q42" s="65" t="s">
        <v>56</v>
      </c>
      <c r="R42" s="65" t="s">
        <v>56</v>
      </c>
      <c r="S42" s="66" t="s">
        <v>57</v>
      </c>
      <c r="T42" s="69" t="s">
        <v>58</v>
      </c>
      <c r="U42" s="70" t="s">
        <v>56</v>
      </c>
      <c r="V42" s="70" t="s">
        <v>56</v>
      </c>
      <c r="W42" s="70" t="s">
        <v>56</v>
      </c>
      <c r="X42" s="70" t="s">
        <v>56</v>
      </c>
      <c r="Y42" s="65" t="s">
        <v>56</v>
      </c>
      <c r="Z42" s="65" t="s">
        <v>56</v>
      </c>
      <c r="AA42" s="68">
        <v>103</v>
      </c>
      <c r="AB42" s="71">
        <v>103</v>
      </c>
    </row>
    <row r="43" spans="1:28" ht="45" x14ac:dyDescent="0.25">
      <c r="A43" s="62" t="s">
        <v>152</v>
      </c>
      <c r="B43" s="63" t="s">
        <v>77</v>
      </c>
      <c r="C43" s="62" t="s">
        <v>70</v>
      </c>
      <c r="D43" s="64" t="s">
        <v>153</v>
      </c>
      <c r="E43" s="65">
        <v>0.7</v>
      </c>
      <c r="F43" s="66" t="s">
        <v>71</v>
      </c>
      <c r="G43" s="66">
        <v>15</v>
      </c>
      <c r="H43" s="66">
        <v>18</v>
      </c>
      <c r="I43" s="66">
        <v>15</v>
      </c>
      <c r="J43" s="66">
        <v>18</v>
      </c>
      <c r="K43" s="66">
        <v>0</v>
      </c>
      <c r="L43" s="66" t="s">
        <v>78</v>
      </c>
      <c r="M43" s="67"/>
      <c r="N43" s="65">
        <v>34</v>
      </c>
      <c r="O43" s="65">
        <v>42</v>
      </c>
      <c r="P43" s="68">
        <v>0</v>
      </c>
      <c r="Q43" s="74">
        <v>8</v>
      </c>
      <c r="R43" s="74" t="e">
        <v>#N/A</v>
      </c>
      <c r="S43" s="66" t="s">
        <v>57</v>
      </c>
      <c r="T43" s="72" t="s">
        <v>152</v>
      </c>
      <c r="U43" s="73">
        <v>0.28100000000000003</v>
      </c>
      <c r="V43" s="73">
        <v>0.28999999999999998</v>
      </c>
      <c r="W43" s="73">
        <v>0.89200000000000002</v>
      </c>
      <c r="X43" s="73">
        <v>0.9</v>
      </c>
      <c r="Y43" s="74">
        <v>11.57</v>
      </c>
      <c r="Z43" s="74">
        <v>21.92</v>
      </c>
      <c r="AA43" s="68">
        <v>45</v>
      </c>
      <c r="AB43" s="71">
        <v>90</v>
      </c>
    </row>
    <row r="44" spans="1:28" x14ac:dyDescent="0.25">
      <c r="A44" s="62" t="s">
        <v>154</v>
      </c>
      <c r="B44" s="63" t="s">
        <v>95</v>
      </c>
      <c r="C44" s="62" t="s">
        <v>96</v>
      </c>
      <c r="D44" s="64"/>
      <c r="E44" s="65">
        <v>15</v>
      </c>
      <c r="F44" s="66" t="s">
        <v>53</v>
      </c>
      <c r="G44" s="66">
        <v>18</v>
      </c>
      <c r="H44" s="66">
        <v>19</v>
      </c>
      <c r="I44" s="66">
        <v>20</v>
      </c>
      <c r="J44" s="66">
        <v>21</v>
      </c>
      <c r="K44" s="66">
        <v>0</v>
      </c>
      <c r="L44" s="66" t="s">
        <v>54</v>
      </c>
      <c r="M44" s="67"/>
      <c r="N44" s="65">
        <v>32.4</v>
      </c>
      <c r="O44" s="65">
        <v>34</v>
      </c>
      <c r="P44" s="68">
        <v>0</v>
      </c>
      <c r="Q44" s="65" t="s">
        <v>56</v>
      </c>
      <c r="R44" s="65" t="s">
        <v>56</v>
      </c>
      <c r="S44" s="66" t="s">
        <v>57</v>
      </c>
      <c r="T44" s="69" t="s">
        <v>58</v>
      </c>
      <c r="U44" s="70" t="s">
        <v>56</v>
      </c>
      <c r="V44" s="70" t="s">
        <v>56</v>
      </c>
      <c r="W44" s="70" t="s">
        <v>56</v>
      </c>
      <c r="X44" s="70" t="s">
        <v>56</v>
      </c>
      <c r="Y44" s="65" t="s">
        <v>56</v>
      </c>
      <c r="Z44" s="65" t="s">
        <v>56</v>
      </c>
      <c r="AA44" s="68">
        <v>103</v>
      </c>
      <c r="AB44" s="71">
        <v>103</v>
      </c>
    </row>
    <row r="45" spans="1:28" x14ac:dyDescent="0.25">
      <c r="A45" s="62" t="s">
        <v>155</v>
      </c>
      <c r="B45" s="63" t="s">
        <v>98</v>
      </c>
      <c r="C45" s="62" t="s">
        <v>66</v>
      </c>
      <c r="D45" s="64"/>
      <c r="E45" s="65">
        <v>5</v>
      </c>
      <c r="F45" s="66" t="s">
        <v>53</v>
      </c>
      <c r="G45" s="66">
        <v>17</v>
      </c>
      <c r="H45" s="66">
        <v>18</v>
      </c>
      <c r="I45" s="66">
        <v>19</v>
      </c>
      <c r="J45" s="66">
        <v>20</v>
      </c>
      <c r="K45" s="66">
        <v>0</v>
      </c>
      <c r="L45" s="66" t="s">
        <v>54</v>
      </c>
      <c r="M45" s="67"/>
      <c r="N45" s="65">
        <v>32.4</v>
      </c>
      <c r="O45" s="65">
        <v>34</v>
      </c>
      <c r="P45" s="68">
        <v>0</v>
      </c>
      <c r="Q45" s="65" t="s">
        <v>56</v>
      </c>
      <c r="R45" s="65" t="s">
        <v>56</v>
      </c>
      <c r="S45" s="66" t="s">
        <v>57</v>
      </c>
      <c r="T45" s="69" t="s">
        <v>58</v>
      </c>
      <c r="U45" s="70" t="s">
        <v>56</v>
      </c>
      <c r="V45" s="70" t="s">
        <v>56</v>
      </c>
      <c r="W45" s="70" t="s">
        <v>56</v>
      </c>
      <c r="X45" s="70" t="s">
        <v>56</v>
      </c>
      <c r="Y45" s="65" t="s">
        <v>56</v>
      </c>
      <c r="Z45" s="65" t="s">
        <v>56</v>
      </c>
      <c r="AA45" s="68">
        <v>103</v>
      </c>
      <c r="AB45" s="71">
        <v>103</v>
      </c>
    </row>
    <row r="46" spans="1:28" x14ac:dyDescent="0.25">
      <c r="A46" s="62" t="s">
        <v>156</v>
      </c>
      <c r="B46" s="63" t="s">
        <v>100</v>
      </c>
      <c r="C46" s="62" t="s">
        <v>66</v>
      </c>
      <c r="D46" s="64"/>
      <c r="E46" s="65">
        <v>5</v>
      </c>
      <c r="F46" s="66" t="s">
        <v>53</v>
      </c>
      <c r="G46" s="66">
        <v>17</v>
      </c>
      <c r="H46" s="66">
        <v>18</v>
      </c>
      <c r="I46" s="66">
        <v>19</v>
      </c>
      <c r="J46" s="66">
        <v>20</v>
      </c>
      <c r="K46" s="66">
        <v>0</v>
      </c>
      <c r="L46" s="66" t="s">
        <v>54</v>
      </c>
      <c r="M46" s="67"/>
      <c r="N46" s="65">
        <v>32.4</v>
      </c>
      <c r="O46" s="65">
        <v>34</v>
      </c>
      <c r="P46" s="68">
        <v>0</v>
      </c>
      <c r="Q46" s="65" t="s">
        <v>56</v>
      </c>
      <c r="R46" s="65" t="s">
        <v>56</v>
      </c>
      <c r="S46" s="66" t="s">
        <v>57</v>
      </c>
      <c r="T46" s="69" t="s">
        <v>58</v>
      </c>
      <c r="U46" s="70" t="s">
        <v>56</v>
      </c>
      <c r="V46" s="70" t="s">
        <v>56</v>
      </c>
      <c r="W46" s="70" t="s">
        <v>56</v>
      </c>
      <c r="X46" s="70" t="s">
        <v>56</v>
      </c>
      <c r="Y46" s="65" t="s">
        <v>56</v>
      </c>
      <c r="Z46" s="65" t="s">
        <v>56</v>
      </c>
      <c r="AA46" s="68">
        <v>103</v>
      </c>
      <c r="AB46" s="71">
        <v>103</v>
      </c>
    </row>
    <row r="47" spans="1:28" x14ac:dyDescent="0.25">
      <c r="A47" s="62" t="s">
        <v>157</v>
      </c>
      <c r="B47" s="63" t="s">
        <v>158</v>
      </c>
      <c r="C47" s="62" t="s">
        <v>159</v>
      </c>
      <c r="D47" s="64" t="s">
        <v>160</v>
      </c>
      <c r="E47" s="65">
        <v>1</v>
      </c>
      <c r="F47" s="66" t="s">
        <v>71</v>
      </c>
      <c r="G47" s="66">
        <v>17</v>
      </c>
      <c r="H47" s="66">
        <v>19</v>
      </c>
      <c r="I47" s="66">
        <v>17</v>
      </c>
      <c r="J47" s="66">
        <v>19</v>
      </c>
      <c r="K47" s="66">
        <v>0</v>
      </c>
      <c r="L47" s="66" t="s">
        <v>72</v>
      </c>
      <c r="M47" s="67"/>
      <c r="N47" s="65">
        <v>29.9</v>
      </c>
      <c r="O47" s="65">
        <v>32</v>
      </c>
      <c r="P47" s="68">
        <v>0</v>
      </c>
      <c r="Q47" s="74">
        <v>6</v>
      </c>
      <c r="R47" s="74" t="e">
        <v>#N/A</v>
      </c>
      <c r="S47" s="66" t="s">
        <v>57</v>
      </c>
      <c r="T47" s="72" t="s">
        <v>157</v>
      </c>
      <c r="U47" s="73">
        <v>0.28100000000000003</v>
      </c>
      <c r="V47" s="73">
        <v>0.28999999999999998</v>
      </c>
      <c r="W47" s="73">
        <v>0.89200000000000002</v>
      </c>
      <c r="X47" s="73">
        <v>0.9</v>
      </c>
      <c r="Y47" s="74">
        <v>11.57</v>
      </c>
      <c r="Z47" s="74">
        <v>21.92</v>
      </c>
      <c r="AA47" s="68">
        <v>103</v>
      </c>
      <c r="AB47" s="71">
        <v>103</v>
      </c>
    </row>
    <row r="48" spans="1:28" x14ac:dyDescent="0.25">
      <c r="A48" s="62" t="s">
        <v>161</v>
      </c>
      <c r="B48" s="63" t="s">
        <v>162</v>
      </c>
      <c r="C48" s="62" t="s">
        <v>66</v>
      </c>
      <c r="D48" s="64"/>
      <c r="E48" s="65">
        <v>5</v>
      </c>
      <c r="F48" s="66" t="s">
        <v>53</v>
      </c>
      <c r="G48" s="66">
        <v>17</v>
      </c>
      <c r="H48" s="66">
        <v>18</v>
      </c>
      <c r="I48" s="66">
        <v>19</v>
      </c>
      <c r="J48" s="66">
        <v>20</v>
      </c>
      <c r="K48" s="66">
        <v>0</v>
      </c>
      <c r="L48" s="66" t="s">
        <v>54</v>
      </c>
      <c r="M48" s="67"/>
      <c r="N48" s="65">
        <v>32.4</v>
      </c>
      <c r="O48" s="65">
        <v>34</v>
      </c>
      <c r="P48" s="68">
        <v>0</v>
      </c>
      <c r="Q48" s="65" t="s">
        <v>56</v>
      </c>
      <c r="R48" s="65" t="s">
        <v>56</v>
      </c>
      <c r="S48" s="66" t="s">
        <v>57</v>
      </c>
      <c r="T48" s="69" t="s">
        <v>58</v>
      </c>
      <c r="U48" s="70" t="s">
        <v>56</v>
      </c>
      <c r="V48" s="70" t="s">
        <v>56</v>
      </c>
      <c r="W48" s="70" t="s">
        <v>56</v>
      </c>
      <c r="X48" s="70" t="s">
        <v>56</v>
      </c>
      <c r="Y48" s="65" t="s">
        <v>56</v>
      </c>
      <c r="Z48" s="65" t="s">
        <v>56</v>
      </c>
      <c r="AA48" s="68">
        <v>103</v>
      </c>
      <c r="AB48" s="71">
        <v>103</v>
      </c>
    </row>
    <row r="49" spans="1:28" x14ac:dyDescent="0.25">
      <c r="A49" s="62" t="s">
        <v>163</v>
      </c>
      <c r="B49" s="63" t="s">
        <v>164</v>
      </c>
      <c r="C49" s="62" t="s">
        <v>52</v>
      </c>
      <c r="D49" s="64"/>
      <c r="E49" s="65">
        <v>8</v>
      </c>
      <c r="F49" s="66" t="s">
        <v>53</v>
      </c>
      <c r="G49" s="66">
        <v>18</v>
      </c>
      <c r="H49" s="66">
        <v>19</v>
      </c>
      <c r="I49" s="66">
        <v>20</v>
      </c>
      <c r="J49" s="66">
        <v>21</v>
      </c>
      <c r="K49" s="66">
        <v>0</v>
      </c>
      <c r="L49" s="66" t="s">
        <v>61</v>
      </c>
      <c r="M49" s="67"/>
      <c r="N49" s="65">
        <v>29.9</v>
      </c>
      <c r="O49" s="65">
        <v>32</v>
      </c>
      <c r="P49" s="68">
        <v>0</v>
      </c>
      <c r="Q49" s="65" t="s">
        <v>56</v>
      </c>
      <c r="R49" s="65" t="s">
        <v>56</v>
      </c>
      <c r="S49" s="66" t="s">
        <v>57</v>
      </c>
      <c r="T49" s="69" t="s">
        <v>58</v>
      </c>
      <c r="U49" s="70" t="s">
        <v>56</v>
      </c>
      <c r="V49" s="70" t="s">
        <v>56</v>
      </c>
      <c r="W49" s="70" t="s">
        <v>56</v>
      </c>
      <c r="X49" s="70" t="s">
        <v>56</v>
      </c>
      <c r="Y49" s="65" t="s">
        <v>56</v>
      </c>
      <c r="Z49" s="65" t="s">
        <v>56</v>
      </c>
      <c r="AA49" s="68">
        <v>103</v>
      </c>
      <c r="AB49" s="71">
        <v>103</v>
      </c>
    </row>
    <row r="50" spans="1:28" ht="30" x14ac:dyDescent="0.25">
      <c r="A50" s="62" t="s">
        <v>165</v>
      </c>
      <c r="B50" s="63" t="s">
        <v>164</v>
      </c>
      <c r="C50" s="62" t="s">
        <v>166</v>
      </c>
      <c r="D50" s="64"/>
      <c r="E50" s="65">
        <v>2</v>
      </c>
      <c r="F50" s="66" t="s">
        <v>71</v>
      </c>
      <c r="G50" s="66">
        <v>19</v>
      </c>
      <c r="H50" s="66">
        <v>20</v>
      </c>
      <c r="I50" s="66">
        <v>19</v>
      </c>
      <c r="J50" s="66">
        <v>20</v>
      </c>
      <c r="K50" s="66">
        <v>0</v>
      </c>
      <c r="L50" s="66" t="s">
        <v>61</v>
      </c>
      <c r="M50" s="67"/>
      <c r="N50" s="65">
        <v>29.9</v>
      </c>
      <c r="O50" s="65">
        <v>32</v>
      </c>
      <c r="P50" s="68">
        <v>0</v>
      </c>
      <c r="Q50" s="65" t="s">
        <v>167</v>
      </c>
      <c r="R50" s="65" t="s">
        <v>168</v>
      </c>
      <c r="S50" s="66" t="s">
        <v>89</v>
      </c>
      <c r="T50" s="72" t="s">
        <v>90</v>
      </c>
      <c r="U50" s="70" t="s">
        <v>56</v>
      </c>
      <c r="V50" s="70" t="s">
        <v>56</v>
      </c>
      <c r="W50" s="70" t="s">
        <v>56</v>
      </c>
      <c r="X50" s="70" t="s">
        <v>56</v>
      </c>
      <c r="Y50" s="65" t="s">
        <v>56</v>
      </c>
      <c r="Z50" s="65" t="s">
        <v>56</v>
      </c>
      <c r="AA50" s="68">
        <v>103</v>
      </c>
      <c r="AB50" s="71">
        <v>103</v>
      </c>
    </row>
    <row r="51" spans="1:28" ht="45" x14ac:dyDescent="0.25">
      <c r="A51" s="62" t="s">
        <v>169</v>
      </c>
      <c r="B51" s="63" t="s">
        <v>170</v>
      </c>
      <c r="C51" s="62" t="s">
        <v>70</v>
      </c>
      <c r="D51" s="64" t="s">
        <v>171</v>
      </c>
      <c r="E51" s="65">
        <v>0.7</v>
      </c>
      <c r="F51" s="66" t="s">
        <v>71</v>
      </c>
      <c r="G51" s="66">
        <v>15</v>
      </c>
      <c r="H51" s="66">
        <v>18</v>
      </c>
      <c r="I51" s="66">
        <v>15</v>
      </c>
      <c r="J51" s="66">
        <v>18</v>
      </c>
      <c r="K51" s="66">
        <v>0</v>
      </c>
      <c r="L51" s="66" t="s">
        <v>72</v>
      </c>
      <c r="M51" s="67"/>
      <c r="N51" s="65">
        <v>29.9</v>
      </c>
      <c r="O51" s="65">
        <v>32</v>
      </c>
      <c r="P51" s="68">
        <v>0</v>
      </c>
      <c r="Q51" s="74">
        <v>8</v>
      </c>
      <c r="R51" s="74" t="e">
        <v>#N/A</v>
      </c>
      <c r="S51" s="66" t="s">
        <v>57</v>
      </c>
      <c r="T51" s="72" t="s">
        <v>169</v>
      </c>
      <c r="U51" s="73">
        <v>0.25900000000000001</v>
      </c>
      <c r="V51" s="73">
        <v>0.26200000000000001</v>
      </c>
      <c r="W51" s="73">
        <v>0.89200000000000002</v>
      </c>
      <c r="X51" s="73">
        <v>0.9</v>
      </c>
      <c r="Y51" s="74">
        <v>28.42</v>
      </c>
      <c r="Z51" s="74">
        <v>48.51</v>
      </c>
      <c r="AA51" s="68">
        <v>103</v>
      </c>
      <c r="AB51" s="71">
        <v>103</v>
      </c>
    </row>
    <row r="52" spans="1:28" x14ac:dyDescent="0.25">
      <c r="A52" s="62" t="s">
        <v>172</v>
      </c>
      <c r="B52" s="63" t="s">
        <v>173</v>
      </c>
      <c r="C52" s="62" t="s">
        <v>66</v>
      </c>
      <c r="D52" s="64"/>
      <c r="E52" s="65">
        <v>5</v>
      </c>
      <c r="F52" s="66" t="s">
        <v>53</v>
      </c>
      <c r="G52" s="66">
        <v>17</v>
      </c>
      <c r="H52" s="66">
        <v>18</v>
      </c>
      <c r="I52" s="66">
        <v>19</v>
      </c>
      <c r="J52" s="66">
        <v>20</v>
      </c>
      <c r="K52" s="66">
        <v>0</v>
      </c>
      <c r="L52" s="66" t="s">
        <v>174</v>
      </c>
      <c r="M52" s="67"/>
      <c r="N52" s="65">
        <v>28.6</v>
      </c>
      <c r="O52" s="65">
        <v>30</v>
      </c>
      <c r="P52" s="68">
        <v>0</v>
      </c>
      <c r="Q52" s="65" t="s">
        <v>56</v>
      </c>
      <c r="R52" s="65" t="s">
        <v>56</v>
      </c>
      <c r="S52" s="66" t="s">
        <v>57</v>
      </c>
      <c r="T52" s="69" t="s">
        <v>58</v>
      </c>
      <c r="U52" s="70" t="s">
        <v>56</v>
      </c>
      <c r="V52" s="70" t="s">
        <v>56</v>
      </c>
      <c r="W52" s="70" t="s">
        <v>56</v>
      </c>
      <c r="X52" s="70" t="s">
        <v>56</v>
      </c>
      <c r="Y52" s="65" t="s">
        <v>56</v>
      </c>
      <c r="Z52" s="65" t="s">
        <v>56</v>
      </c>
      <c r="AA52" s="68">
        <v>103</v>
      </c>
      <c r="AB52" s="71">
        <v>103</v>
      </c>
    </row>
    <row r="53" spans="1:28" x14ac:dyDescent="0.25">
      <c r="A53" s="62" t="s">
        <v>175</v>
      </c>
      <c r="B53" s="63" t="s">
        <v>176</v>
      </c>
      <c r="C53" s="62" t="s">
        <v>66</v>
      </c>
      <c r="D53" s="64"/>
      <c r="E53" s="65">
        <v>5</v>
      </c>
      <c r="F53" s="66" t="s">
        <v>53</v>
      </c>
      <c r="G53" s="66">
        <v>17</v>
      </c>
      <c r="H53" s="66">
        <v>18</v>
      </c>
      <c r="I53" s="66">
        <v>19</v>
      </c>
      <c r="J53" s="66">
        <v>20</v>
      </c>
      <c r="K53" s="66">
        <v>0</v>
      </c>
      <c r="L53" s="66" t="s">
        <v>174</v>
      </c>
      <c r="M53" s="67"/>
      <c r="N53" s="65">
        <v>28.6</v>
      </c>
      <c r="O53" s="65">
        <v>30</v>
      </c>
      <c r="P53" s="68">
        <v>0</v>
      </c>
      <c r="Q53" s="65" t="s">
        <v>56</v>
      </c>
      <c r="R53" s="65" t="s">
        <v>56</v>
      </c>
      <c r="S53" s="66" t="s">
        <v>57</v>
      </c>
      <c r="T53" s="69" t="s">
        <v>58</v>
      </c>
      <c r="U53" s="70" t="s">
        <v>56</v>
      </c>
      <c r="V53" s="70" t="s">
        <v>56</v>
      </c>
      <c r="W53" s="70" t="s">
        <v>56</v>
      </c>
      <c r="X53" s="70" t="s">
        <v>56</v>
      </c>
      <c r="Y53" s="65" t="s">
        <v>56</v>
      </c>
      <c r="Z53" s="65" t="s">
        <v>56</v>
      </c>
      <c r="AA53" s="68">
        <v>103</v>
      </c>
      <c r="AB53" s="71">
        <v>103</v>
      </c>
    </row>
    <row r="54" spans="1:28" ht="30" x14ac:dyDescent="0.25">
      <c r="A54" s="62" t="s">
        <v>177</v>
      </c>
      <c r="B54" s="63" t="s">
        <v>178</v>
      </c>
      <c r="C54" s="62" t="s">
        <v>179</v>
      </c>
      <c r="D54" s="64"/>
      <c r="E54" s="65">
        <v>1</v>
      </c>
      <c r="F54" s="66" t="s">
        <v>71</v>
      </c>
      <c r="G54" s="66">
        <v>19</v>
      </c>
      <c r="H54" s="66">
        <v>20</v>
      </c>
      <c r="I54" s="66">
        <v>19</v>
      </c>
      <c r="J54" s="66">
        <v>20</v>
      </c>
      <c r="K54" s="66">
        <v>0</v>
      </c>
      <c r="L54" s="66" t="s">
        <v>72</v>
      </c>
      <c r="M54" s="67"/>
      <c r="N54" s="65">
        <v>29.9</v>
      </c>
      <c r="O54" s="65">
        <v>32</v>
      </c>
      <c r="P54" s="68">
        <v>0</v>
      </c>
      <c r="Q54" s="65" t="s">
        <v>180</v>
      </c>
      <c r="R54" s="65" t="s">
        <v>168</v>
      </c>
      <c r="S54" s="66" t="s">
        <v>89</v>
      </c>
      <c r="T54" s="72" t="s">
        <v>90</v>
      </c>
      <c r="U54" s="70" t="s">
        <v>56</v>
      </c>
      <c r="V54" s="70" t="s">
        <v>56</v>
      </c>
      <c r="W54" s="70" t="s">
        <v>56</v>
      </c>
      <c r="X54" s="70" t="s">
        <v>56</v>
      </c>
      <c r="Y54" s="65" t="s">
        <v>56</v>
      </c>
      <c r="Z54" s="65" t="s">
        <v>56</v>
      </c>
      <c r="AA54" s="68">
        <v>103</v>
      </c>
      <c r="AB54" s="71">
        <v>103</v>
      </c>
    </row>
    <row r="55" spans="1:28" x14ac:dyDescent="0.25">
      <c r="A55" s="62" t="s">
        <v>181</v>
      </c>
      <c r="B55" s="63" t="s">
        <v>182</v>
      </c>
      <c r="C55" s="62" t="s">
        <v>66</v>
      </c>
      <c r="D55" s="64"/>
      <c r="E55" s="65">
        <v>5</v>
      </c>
      <c r="F55" s="66" t="s">
        <v>53</v>
      </c>
      <c r="G55" s="66">
        <v>17</v>
      </c>
      <c r="H55" s="66">
        <v>18</v>
      </c>
      <c r="I55" s="66">
        <v>19</v>
      </c>
      <c r="J55" s="66">
        <v>20</v>
      </c>
      <c r="K55" s="66">
        <v>0</v>
      </c>
      <c r="L55" s="66" t="s">
        <v>61</v>
      </c>
      <c r="M55" s="67"/>
      <c r="N55" s="65">
        <v>29.9</v>
      </c>
      <c r="O55" s="65">
        <v>32</v>
      </c>
      <c r="P55" s="68">
        <v>0</v>
      </c>
      <c r="Q55" s="65" t="s">
        <v>56</v>
      </c>
      <c r="R55" s="65" t="s">
        <v>56</v>
      </c>
      <c r="S55" s="66" t="s">
        <v>57</v>
      </c>
      <c r="T55" s="69" t="s">
        <v>58</v>
      </c>
      <c r="U55" s="70" t="s">
        <v>56</v>
      </c>
      <c r="V55" s="70" t="s">
        <v>56</v>
      </c>
      <c r="W55" s="70" t="s">
        <v>56</v>
      </c>
      <c r="X55" s="70" t="s">
        <v>56</v>
      </c>
      <c r="Y55" s="65" t="s">
        <v>56</v>
      </c>
      <c r="Z55" s="65" t="s">
        <v>56</v>
      </c>
      <c r="AA55" s="68">
        <v>103</v>
      </c>
      <c r="AB55" s="71">
        <v>103</v>
      </c>
    </row>
    <row r="56" spans="1:28" x14ac:dyDescent="0.25">
      <c r="A56" s="62" t="s">
        <v>183</v>
      </c>
      <c r="B56" s="63" t="s">
        <v>184</v>
      </c>
      <c r="C56" s="62" t="s">
        <v>96</v>
      </c>
      <c r="D56" s="64"/>
      <c r="E56" s="65">
        <v>15</v>
      </c>
      <c r="F56" s="66" t="s">
        <v>53</v>
      </c>
      <c r="G56" s="66">
        <v>18</v>
      </c>
      <c r="H56" s="66">
        <v>19</v>
      </c>
      <c r="I56" s="66">
        <v>20</v>
      </c>
      <c r="J56" s="66">
        <v>21</v>
      </c>
      <c r="K56" s="66">
        <v>0</v>
      </c>
      <c r="L56" s="66" t="s">
        <v>61</v>
      </c>
      <c r="M56" s="67"/>
      <c r="N56" s="65">
        <v>29.9</v>
      </c>
      <c r="O56" s="65">
        <v>32</v>
      </c>
      <c r="P56" s="68">
        <v>0</v>
      </c>
      <c r="Q56" s="65" t="s">
        <v>56</v>
      </c>
      <c r="R56" s="65" t="s">
        <v>56</v>
      </c>
      <c r="S56" s="66" t="s">
        <v>57</v>
      </c>
      <c r="T56" s="69" t="s">
        <v>58</v>
      </c>
      <c r="U56" s="70" t="s">
        <v>56</v>
      </c>
      <c r="V56" s="70" t="s">
        <v>56</v>
      </c>
      <c r="W56" s="70" t="s">
        <v>56</v>
      </c>
      <c r="X56" s="70" t="s">
        <v>56</v>
      </c>
      <c r="Y56" s="65" t="s">
        <v>56</v>
      </c>
      <c r="Z56" s="65" t="s">
        <v>56</v>
      </c>
      <c r="AA56" s="68">
        <v>103</v>
      </c>
      <c r="AB56" s="71">
        <v>103</v>
      </c>
    </row>
    <row r="57" spans="1:28" ht="30" x14ac:dyDescent="0.25">
      <c r="A57" s="62" t="s">
        <v>185</v>
      </c>
      <c r="B57" s="63" t="s">
        <v>184</v>
      </c>
      <c r="C57" s="62" t="s">
        <v>159</v>
      </c>
      <c r="D57" s="64" t="s">
        <v>186</v>
      </c>
      <c r="E57" s="65">
        <v>1</v>
      </c>
      <c r="F57" s="66" t="s">
        <v>71</v>
      </c>
      <c r="G57" s="66">
        <v>17</v>
      </c>
      <c r="H57" s="66">
        <v>19</v>
      </c>
      <c r="I57" s="66">
        <v>17</v>
      </c>
      <c r="J57" s="66">
        <v>19</v>
      </c>
      <c r="K57" s="66">
        <v>0</v>
      </c>
      <c r="L57" s="66" t="s">
        <v>72</v>
      </c>
      <c r="M57" s="67"/>
      <c r="N57" s="65">
        <v>29.9</v>
      </c>
      <c r="O57" s="65">
        <v>32</v>
      </c>
      <c r="P57" s="68">
        <v>0</v>
      </c>
      <c r="Q57" s="74">
        <v>6</v>
      </c>
      <c r="R57" s="74" t="e">
        <v>#N/A</v>
      </c>
      <c r="S57" s="66" t="s">
        <v>57</v>
      </c>
      <c r="T57" s="72" t="s">
        <v>185</v>
      </c>
      <c r="U57" s="73">
        <v>0.28100000000000003</v>
      </c>
      <c r="V57" s="73">
        <v>0.28999999999999998</v>
      </c>
      <c r="W57" s="73">
        <v>0.89200000000000002</v>
      </c>
      <c r="X57" s="73">
        <v>0.9</v>
      </c>
      <c r="Y57" s="74">
        <v>11.57</v>
      </c>
      <c r="Z57" s="74">
        <v>21.92</v>
      </c>
      <c r="AA57" s="68">
        <v>103</v>
      </c>
      <c r="AB57" s="71">
        <v>103</v>
      </c>
    </row>
    <row r="58" spans="1:28" ht="60" x14ac:dyDescent="0.25">
      <c r="A58" s="62" t="s">
        <v>187</v>
      </c>
      <c r="B58" s="63" t="s">
        <v>188</v>
      </c>
      <c r="C58" s="62" t="s">
        <v>189</v>
      </c>
      <c r="D58" s="64" t="s">
        <v>190</v>
      </c>
      <c r="E58" s="65">
        <v>1.5</v>
      </c>
      <c r="F58" s="66" t="s">
        <v>71</v>
      </c>
      <c r="G58" s="66">
        <v>18</v>
      </c>
      <c r="H58" s="66">
        <v>20</v>
      </c>
      <c r="I58" s="66">
        <v>18</v>
      </c>
      <c r="J58" s="66">
        <v>20</v>
      </c>
      <c r="K58" s="66">
        <v>0</v>
      </c>
      <c r="L58" s="66" t="s">
        <v>72</v>
      </c>
      <c r="M58" s="67"/>
      <c r="N58" s="65">
        <v>29.9</v>
      </c>
      <c r="O58" s="65">
        <v>32</v>
      </c>
      <c r="P58" s="68">
        <v>0</v>
      </c>
      <c r="Q58" s="65" t="s">
        <v>167</v>
      </c>
      <c r="R58" s="65" t="s">
        <v>168</v>
      </c>
      <c r="S58" s="66" t="s">
        <v>89</v>
      </c>
      <c r="T58" s="72" t="s">
        <v>90</v>
      </c>
      <c r="U58" s="70" t="s">
        <v>56</v>
      </c>
      <c r="V58" s="70" t="s">
        <v>56</v>
      </c>
      <c r="W58" s="70" t="s">
        <v>56</v>
      </c>
      <c r="X58" s="70" t="s">
        <v>56</v>
      </c>
      <c r="Y58" s="65" t="s">
        <v>56</v>
      </c>
      <c r="Z58" s="65" t="s">
        <v>56</v>
      </c>
      <c r="AA58" s="68">
        <v>103</v>
      </c>
      <c r="AB58" s="71">
        <v>103</v>
      </c>
    </row>
    <row r="59" spans="1:28" ht="30" x14ac:dyDescent="0.25">
      <c r="A59" s="62" t="s">
        <v>191</v>
      </c>
      <c r="B59" s="63" t="s">
        <v>188</v>
      </c>
      <c r="C59" s="62" t="s">
        <v>192</v>
      </c>
      <c r="D59" s="64" t="s">
        <v>193</v>
      </c>
      <c r="E59" s="65">
        <v>12</v>
      </c>
      <c r="F59" s="66" t="s">
        <v>53</v>
      </c>
      <c r="G59" s="66">
        <v>18</v>
      </c>
      <c r="H59" s="66">
        <v>19</v>
      </c>
      <c r="I59" s="66">
        <v>20</v>
      </c>
      <c r="J59" s="66">
        <v>21</v>
      </c>
      <c r="K59" s="66">
        <v>0</v>
      </c>
      <c r="L59" s="66" t="s">
        <v>61</v>
      </c>
      <c r="M59" s="67"/>
      <c r="N59" s="65">
        <v>29.9</v>
      </c>
      <c r="O59" s="65">
        <v>32</v>
      </c>
      <c r="P59" s="68">
        <v>0</v>
      </c>
      <c r="Q59" s="65" t="s">
        <v>56</v>
      </c>
      <c r="R59" s="65" t="s">
        <v>56</v>
      </c>
      <c r="S59" s="66" t="s">
        <v>57</v>
      </c>
      <c r="T59" s="69" t="s">
        <v>58</v>
      </c>
      <c r="U59" s="70" t="s">
        <v>56</v>
      </c>
      <c r="V59" s="70" t="s">
        <v>56</v>
      </c>
      <c r="W59" s="70" t="s">
        <v>56</v>
      </c>
      <c r="X59" s="70" t="s">
        <v>56</v>
      </c>
      <c r="Y59" s="65" t="s">
        <v>56</v>
      </c>
      <c r="Z59" s="65" t="s">
        <v>56</v>
      </c>
      <c r="AA59" s="68">
        <v>103</v>
      </c>
      <c r="AB59" s="71">
        <v>103</v>
      </c>
    </row>
    <row r="60" spans="1:28" x14ac:dyDescent="0.25">
      <c r="A60" s="62" t="s">
        <v>194</v>
      </c>
      <c r="B60" s="63" t="s">
        <v>195</v>
      </c>
      <c r="C60" s="62" t="s">
        <v>52</v>
      </c>
      <c r="D60" s="64"/>
      <c r="E60" s="65">
        <v>8</v>
      </c>
      <c r="F60" s="66" t="s">
        <v>53</v>
      </c>
      <c r="G60" s="66">
        <v>18</v>
      </c>
      <c r="H60" s="66">
        <v>19</v>
      </c>
      <c r="I60" s="66">
        <v>20</v>
      </c>
      <c r="J60" s="66">
        <v>21</v>
      </c>
      <c r="K60" s="66">
        <v>0</v>
      </c>
      <c r="L60" s="66" t="s">
        <v>61</v>
      </c>
      <c r="M60" s="67"/>
      <c r="N60" s="65">
        <v>29.9</v>
      </c>
      <c r="O60" s="65">
        <v>32</v>
      </c>
      <c r="P60" s="68">
        <v>0</v>
      </c>
      <c r="Q60" s="65" t="s">
        <v>56</v>
      </c>
      <c r="R60" s="65" t="s">
        <v>56</v>
      </c>
      <c r="S60" s="66" t="s">
        <v>57</v>
      </c>
      <c r="T60" s="69" t="s">
        <v>58</v>
      </c>
      <c r="U60" s="70" t="s">
        <v>56</v>
      </c>
      <c r="V60" s="70" t="s">
        <v>56</v>
      </c>
      <c r="W60" s="70" t="s">
        <v>56</v>
      </c>
      <c r="X60" s="70" t="s">
        <v>56</v>
      </c>
      <c r="Y60" s="65" t="s">
        <v>56</v>
      </c>
      <c r="Z60" s="65" t="s">
        <v>56</v>
      </c>
      <c r="AA60" s="68">
        <v>103</v>
      </c>
      <c r="AB60" s="71">
        <v>103</v>
      </c>
    </row>
    <row r="61" spans="1:28" x14ac:dyDescent="0.25">
      <c r="A61" s="62" t="s">
        <v>196</v>
      </c>
      <c r="B61" s="63" t="s">
        <v>197</v>
      </c>
      <c r="C61" s="62" t="s">
        <v>159</v>
      </c>
      <c r="D61" s="64"/>
      <c r="E61" s="65">
        <v>1</v>
      </c>
      <c r="F61" s="66" t="s">
        <v>71</v>
      </c>
      <c r="G61" s="66">
        <v>17</v>
      </c>
      <c r="H61" s="66">
        <v>19</v>
      </c>
      <c r="I61" s="66">
        <v>17</v>
      </c>
      <c r="J61" s="66">
        <v>19</v>
      </c>
      <c r="K61" s="66">
        <v>0</v>
      </c>
      <c r="L61" s="66" t="s">
        <v>78</v>
      </c>
      <c r="M61" s="67"/>
      <c r="N61" s="65">
        <v>34</v>
      </c>
      <c r="O61" s="65">
        <v>42</v>
      </c>
      <c r="P61" s="68">
        <v>0</v>
      </c>
      <c r="Q61" s="74">
        <v>6</v>
      </c>
      <c r="R61" s="74" t="e">
        <v>#N/A</v>
      </c>
      <c r="S61" s="66" t="s">
        <v>57</v>
      </c>
      <c r="T61" s="72" t="s">
        <v>196</v>
      </c>
      <c r="U61" s="73">
        <v>0.28100000000000003</v>
      </c>
      <c r="V61" s="73">
        <v>0.28999999999999998</v>
      </c>
      <c r="W61" s="73">
        <v>0.89200000000000002</v>
      </c>
      <c r="X61" s="73">
        <v>0.9</v>
      </c>
      <c r="Y61" s="74">
        <v>11.57</v>
      </c>
      <c r="Z61" s="74">
        <v>21.92</v>
      </c>
      <c r="AA61" s="68">
        <v>103</v>
      </c>
      <c r="AB61" s="71">
        <v>103</v>
      </c>
    </row>
    <row r="62" spans="1:28" ht="30" x14ac:dyDescent="0.25">
      <c r="A62" s="62" t="s">
        <v>198</v>
      </c>
      <c r="B62" s="63" t="s">
        <v>199</v>
      </c>
      <c r="C62" s="62" t="s">
        <v>81</v>
      </c>
      <c r="D62" s="64" t="s">
        <v>200</v>
      </c>
      <c r="E62" s="65">
        <v>0.2</v>
      </c>
      <c r="F62" s="66" t="s">
        <v>71</v>
      </c>
      <c r="G62" s="66">
        <v>13</v>
      </c>
      <c r="H62" s="66">
        <v>15</v>
      </c>
      <c r="I62" s="66">
        <v>13</v>
      </c>
      <c r="J62" s="66">
        <v>15</v>
      </c>
      <c r="K62" s="66">
        <v>0</v>
      </c>
      <c r="L62" s="66" t="s">
        <v>78</v>
      </c>
      <c r="M62" s="67"/>
      <c r="N62" s="65">
        <v>34</v>
      </c>
      <c r="O62" s="65">
        <v>42</v>
      </c>
      <c r="P62" s="68">
        <v>0</v>
      </c>
      <c r="Q62" s="74">
        <v>4.0999999999999996</v>
      </c>
      <c r="R62" s="74" t="e">
        <v>#N/A</v>
      </c>
      <c r="S62" s="66" t="s">
        <v>57</v>
      </c>
      <c r="T62" s="72" t="s">
        <v>198</v>
      </c>
      <c r="U62" s="73">
        <v>0.28100000000000003</v>
      </c>
      <c r="V62" s="73">
        <v>0.28999999999999998</v>
      </c>
      <c r="W62" s="73">
        <v>0.89200000000000002</v>
      </c>
      <c r="X62" s="73">
        <v>0.9</v>
      </c>
      <c r="Y62" s="74">
        <v>11.57</v>
      </c>
      <c r="Z62" s="74">
        <v>21.92</v>
      </c>
      <c r="AA62" s="68">
        <v>60</v>
      </c>
      <c r="AB62" s="71">
        <v>100</v>
      </c>
    </row>
    <row r="63" spans="1:28" ht="30" x14ac:dyDescent="0.25">
      <c r="A63" s="62" t="s">
        <v>201</v>
      </c>
      <c r="B63" s="63" t="s">
        <v>202</v>
      </c>
      <c r="C63" s="62" t="s">
        <v>159</v>
      </c>
      <c r="D63" s="64" t="s">
        <v>203</v>
      </c>
      <c r="E63" s="65">
        <v>1</v>
      </c>
      <c r="F63" s="66" t="s">
        <v>71</v>
      </c>
      <c r="G63" s="66">
        <v>17</v>
      </c>
      <c r="H63" s="66">
        <v>19</v>
      </c>
      <c r="I63" s="66">
        <v>17</v>
      </c>
      <c r="J63" s="66">
        <v>19</v>
      </c>
      <c r="K63" s="66">
        <v>0</v>
      </c>
      <c r="L63" s="66" t="s">
        <v>72</v>
      </c>
      <c r="M63" s="67"/>
      <c r="N63" s="65">
        <v>29.9</v>
      </c>
      <c r="O63" s="65">
        <v>32</v>
      </c>
      <c r="P63" s="68">
        <v>0</v>
      </c>
      <c r="Q63" s="65">
        <v>30</v>
      </c>
      <c r="R63" s="65">
        <v>45</v>
      </c>
      <c r="S63" s="66" t="s">
        <v>57</v>
      </c>
      <c r="T63" s="8" t="s">
        <v>57</v>
      </c>
      <c r="U63" s="70" t="s">
        <v>56</v>
      </c>
      <c r="V63" s="70" t="s">
        <v>56</v>
      </c>
      <c r="W63" s="70" t="s">
        <v>56</v>
      </c>
      <c r="X63" s="70" t="s">
        <v>56</v>
      </c>
      <c r="Y63" s="65" t="s">
        <v>56</v>
      </c>
      <c r="Z63" s="65" t="s">
        <v>56</v>
      </c>
      <c r="AA63" s="68">
        <v>78</v>
      </c>
      <c r="AB63" s="71">
        <v>100</v>
      </c>
    </row>
    <row r="64" spans="1:28" ht="105" x14ac:dyDescent="0.25">
      <c r="A64" s="62" t="s">
        <v>204</v>
      </c>
      <c r="B64" s="63" t="s">
        <v>205</v>
      </c>
      <c r="C64" s="62" t="s">
        <v>52</v>
      </c>
      <c r="D64" s="64" t="s">
        <v>206</v>
      </c>
      <c r="E64" s="65">
        <v>8</v>
      </c>
      <c r="F64" s="66" t="s">
        <v>53</v>
      </c>
      <c r="G64" s="66">
        <v>18</v>
      </c>
      <c r="H64" s="66">
        <v>19</v>
      </c>
      <c r="I64" s="66">
        <v>20</v>
      </c>
      <c r="J64" s="66">
        <v>21</v>
      </c>
      <c r="K64" s="66">
        <v>0</v>
      </c>
      <c r="L64" s="76" t="s">
        <v>61</v>
      </c>
      <c r="M64" s="67"/>
      <c r="N64" s="65">
        <v>29.9</v>
      </c>
      <c r="O64" s="65">
        <v>32</v>
      </c>
      <c r="P64" s="68">
        <v>0</v>
      </c>
      <c r="Q64" s="65" t="s">
        <v>56</v>
      </c>
      <c r="R64" s="65" t="s">
        <v>56</v>
      </c>
      <c r="S64" s="66" t="s">
        <v>57</v>
      </c>
      <c r="T64" s="8" t="s">
        <v>58</v>
      </c>
      <c r="U64" s="70" t="s">
        <v>56</v>
      </c>
      <c r="V64" s="70" t="s">
        <v>56</v>
      </c>
      <c r="W64" s="70" t="s">
        <v>56</v>
      </c>
      <c r="X64" s="70" t="s">
        <v>56</v>
      </c>
      <c r="Y64" s="65" t="s">
        <v>56</v>
      </c>
      <c r="Z64" s="65" t="s">
        <v>56</v>
      </c>
      <c r="AA64" s="68">
        <v>109</v>
      </c>
      <c r="AB64" s="71">
        <v>109</v>
      </c>
    </row>
    <row r="65" spans="1:28" ht="60" x14ac:dyDescent="0.25">
      <c r="A65" s="77" t="s">
        <v>207</v>
      </c>
      <c r="B65" s="78" t="s">
        <v>208</v>
      </c>
      <c r="C65" s="77" t="s">
        <v>56</v>
      </c>
      <c r="D65" s="79" t="s">
        <v>209</v>
      </c>
      <c r="E65" s="80" t="e">
        <v>#N/A</v>
      </c>
      <c r="F65" s="81" t="s">
        <v>71</v>
      </c>
      <c r="G65" s="81">
        <v>11</v>
      </c>
      <c r="H65" s="81">
        <v>12</v>
      </c>
      <c r="I65" s="81">
        <v>11</v>
      </c>
      <c r="J65" s="81">
        <v>12</v>
      </c>
      <c r="K65" s="81">
        <v>0</v>
      </c>
      <c r="L65" s="82" t="s">
        <v>122</v>
      </c>
      <c r="M65" s="83"/>
      <c r="N65" s="65">
        <v>30</v>
      </c>
      <c r="O65" s="65">
        <v>44</v>
      </c>
      <c r="P65" s="84">
        <v>0</v>
      </c>
      <c r="Q65" s="65">
        <v>30</v>
      </c>
      <c r="R65" s="65">
        <v>45</v>
      </c>
      <c r="S65" s="81" t="s">
        <v>57</v>
      </c>
      <c r="T65" s="8" t="s">
        <v>210</v>
      </c>
      <c r="U65" s="85" t="s">
        <v>56</v>
      </c>
      <c r="V65" s="85" t="s">
        <v>56</v>
      </c>
      <c r="W65" s="85" t="s">
        <v>56</v>
      </c>
      <c r="X65" s="85" t="s">
        <v>56</v>
      </c>
      <c r="Y65" s="80" t="s">
        <v>56</v>
      </c>
      <c r="Z65" s="80" t="s">
        <v>56</v>
      </c>
      <c r="AA65" s="84">
        <v>86</v>
      </c>
      <c r="AB65" s="86">
        <v>103</v>
      </c>
    </row>
    <row r="66" spans="1:28" ht="105" x14ac:dyDescent="0.25">
      <c r="A66" s="77" t="s">
        <v>211</v>
      </c>
      <c r="B66" s="78" t="s">
        <v>212</v>
      </c>
      <c r="C66" s="77" t="s">
        <v>56</v>
      </c>
      <c r="D66" s="79" t="s">
        <v>213</v>
      </c>
      <c r="E66" s="87" t="s">
        <v>214</v>
      </c>
      <c r="F66" s="87" t="s">
        <v>214</v>
      </c>
      <c r="G66" s="87" t="s">
        <v>214</v>
      </c>
      <c r="H66" s="87" t="s">
        <v>214</v>
      </c>
      <c r="I66" s="87" t="s">
        <v>214</v>
      </c>
      <c r="J66" s="87" t="s">
        <v>214</v>
      </c>
      <c r="K66" s="87" t="s">
        <v>214</v>
      </c>
      <c r="L66" s="87" t="s">
        <v>214</v>
      </c>
      <c r="M66" s="87" t="s">
        <v>214</v>
      </c>
      <c r="N66" s="87" t="s">
        <v>214</v>
      </c>
      <c r="O66" s="87" t="s">
        <v>214</v>
      </c>
      <c r="P66" s="87" t="s">
        <v>214</v>
      </c>
      <c r="Q66" s="87" t="s">
        <v>214</v>
      </c>
      <c r="R66" s="87" t="s">
        <v>214</v>
      </c>
      <c r="S66" s="87" t="s">
        <v>214</v>
      </c>
      <c r="T66" s="87" t="s">
        <v>210</v>
      </c>
      <c r="U66" s="88" t="s">
        <v>56</v>
      </c>
      <c r="V66" s="88" t="s">
        <v>56</v>
      </c>
      <c r="W66" s="88" t="s">
        <v>56</v>
      </c>
      <c r="X66" s="88" t="s">
        <v>56</v>
      </c>
      <c r="Y66" s="89" t="s">
        <v>56</v>
      </c>
      <c r="Z66" s="89" t="s">
        <v>56</v>
      </c>
      <c r="AA66" s="87" t="s">
        <v>214</v>
      </c>
      <c r="AB66" s="90" t="s">
        <v>214</v>
      </c>
    </row>
    <row r="67" spans="1:28" ht="30" x14ac:dyDescent="0.25">
      <c r="A67" s="77" t="s">
        <v>215</v>
      </c>
      <c r="B67" s="78" t="s">
        <v>216</v>
      </c>
      <c r="C67" s="77" t="s">
        <v>56</v>
      </c>
      <c r="D67" s="79" t="s">
        <v>217</v>
      </c>
      <c r="E67" s="80" t="e">
        <v>#N/A</v>
      </c>
      <c r="F67" s="81" t="s">
        <v>53</v>
      </c>
      <c r="G67" s="81">
        <v>16</v>
      </c>
      <c r="H67" s="81">
        <v>17</v>
      </c>
      <c r="I67" s="81">
        <v>20</v>
      </c>
      <c r="J67" s="81">
        <v>21</v>
      </c>
      <c r="K67" s="81">
        <v>300</v>
      </c>
      <c r="L67" s="81" t="s">
        <v>56</v>
      </c>
      <c r="M67" s="83"/>
      <c r="N67" s="80">
        <v>0</v>
      </c>
      <c r="O67" s="80">
        <v>0</v>
      </c>
      <c r="P67" s="84">
        <v>0</v>
      </c>
      <c r="Q67" s="65" t="s">
        <v>56</v>
      </c>
      <c r="R67" s="65" t="s">
        <v>56</v>
      </c>
      <c r="S67" s="81" t="s">
        <v>57</v>
      </c>
      <c r="T67" s="8" t="s">
        <v>210</v>
      </c>
      <c r="U67" s="85" t="s">
        <v>56</v>
      </c>
      <c r="V67" s="85" t="s">
        <v>56</v>
      </c>
      <c r="W67" s="85" t="s">
        <v>56</v>
      </c>
      <c r="X67" s="85" t="s">
        <v>56</v>
      </c>
      <c r="Y67" s="80" t="s">
        <v>56</v>
      </c>
      <c r="Z67" s="80" t="s">
        <v>56</v>
      </c>
      <c r="AA67" s="84">
        <v>103</v>
      </c>
      <c r="AB67" s="86">
        <v>103</v>
      </c>
    </row>
    <row r="68" spans="1:28" ht="105.75" thickBot="1" x14ac:dyDescent="0.3">
      <c r="A68" s="91" t="s">
        <v>218</v>
      </c>
      <c r="B68" s="92" t="s">
        <v>219</v>
      </c>
      <c r="C68" s="91" t="s">
        <v>179</v>
      </c>
      <c r="D68" s="93" t="s">
        <v>220</v>
      </c>
      <c r="E68" s="94">
        <v>1</v>
      </c>
      <c r="F68" s="95" t="s">
        <v>71</v>
      </c>
      <c r="G68" s="95">
        <v>19</v>
      </c>
      <c r="H68" s="95">
        <v>20</v>
      </c>
      <c r="I68" s="95">
        <v>19</v>
      </c>
      <c r="J68" s="95">
        <v>20</v>
      </c>
      <c r="K68" s="95">
        <v>0</v>
      </c>
      <c r="L68" s="95" t="s">
        <v>72</v>
      </c>
      <c r="M68" s="96"/>
      <c r="N68" s="94">
        <v>29.9</v>
      </c>
      <c r="O68" s="94">
        <v>32</v>
      </c>
      <c r="P68" s="97">
        <v>0</v>
      </c>
      <c r="Q68" s="94">
        <v>45</v>
      </c>
      <c r="R68" s="94">
        <v>70</v>
      </c>
      <c r="S68" s="95" t="s">
        <v>89</v>
      </c>
      <c r="T68" s="5" t="s">
        <v>90</v>
      </c>
      <c r="U68" s="98" t="s">
        <v>56</v>
      </c>
      <c r="V68" s="98" t="s">
        <v>56</v>
      </c>
      <c r="W68" s="98" t="s">
        <v>56</v>
      </c>
      <c r="X68" s="98" t="s">
        <v>56</v>
      </c>
      <c r="Y68" s="94" t="s">
        <v>56</v>
      </c>
      <c r="Z68" s="94" t="s">
        <v>56</v>
      </c>
      <c r="AA68" s="97">
        <v>69</v>
      </c>
      <c r="AB68" s="99">
        <v>103</v>
      </c>
    </row>
    <row r="69" spans="1:28" x14ac:dyDescent="0.25">
      <c r="S69" s="102"/>
    </row>
    <row r="70" spans="1:28" x14ac:dyDescent="0.25">
      <c r="A70" s="108" t="s">
        <v>221</v>
      </c>
    </row>
    <row r="71" spans="1:28" x14ac:dyDescent="0.25">
      <c r="A71" s="14" t="s">
        <v>222</v>
      </c>
      <c r="B71" s="14" t="s">
        <v>223</v>
      </c>
    </row>
    <row r="72" spans="1:28" x14ac:dyDescent="0.25">
      <c r="A72" s="14" t="s">
        <v>224</v>
      </c>
      <c r="B72" s="14" t="s">
        <v>225</v>
      </c>
    </row>
    <row r="73" spans="1:28" x14ac:dyDescent="0.25">
      <c r="A73" s="109" t="s">
        <v>226</v>
      </c>
      <c r="B73" s="14" t="s">
        <v>227</v>
      </c>
    </row>
    <row r="74" spans="1:28" x14ac:dyDescent="0.25">
      <c r="A74" s="109" t="s">
        <v>228</v>
      </c>
      <c r="B74" s="14" t="s">
        <v>229</v>
      </c>
    </row>
    <row r="75" spans="1:28" x14ac:dyDescent="0.25">
      <c r="A75" s="14" t="s">
        <v>230</v>
      </c>
      <c r="B75" s="14" t="s">
        <v>231</v>
      </c>
    </row>
    <row r="76" spans="1:28" x14ac:dyDescent="0.25">
      <c r="A76" s="14" t="s">
        <v>232</v>
      </c>
      <c r="B76" s="14" t="s">
        <v>233</v>
      </c>
    </row>
    <row r="77" spans="1:28" x14ac:dyDescent="0.25">
      <c r="A77" s="14" t="s">
        <v>234</v>
      </c>
      <c r="B77" s="14" t="s">
        <v>235</v>
      </c>
    </row>
    <row r="78" spans="1:28" x14ac:dyDescent="0.25">
      <c r="A78" s="14" t="s">
        <v>236</v>
      </c>
      <c r="B78" s="14" t="s">
        <v>237</v>
      </c>
    </row>
    <row r="79" spans="1:28" x14ac:dyDescent="0.25">
      <c r="A79" s="14" t="s">
        <v>238</v>
      </c>
      <c r="B79" s="14" t="s">
        <v>239</v>
      </c>
    </row>
    <row r="80" spans="1:28" x14ac:dyDescent="0.25">
      <c r="A80" s="14" t="s">
        <v>240</v>
      </c>
      <c r="B80" s="14" t="s">
        <v>241</v>
      </c>
    </row>
    <row r="81" spans="1:2" x14ac:dyDescent="0.25">
      <c r="A81" s="14" t="s">
        <v>242</v>
      </c>
      <c r="B81" s="14" t="s">
        <v>243</v>
      </c>
    </row>
    <row r="82" spans="1:2" x14ac:dyDescent="0.25">
      <c r="A82" s="14" t="s">
        <v>244</v>
      </c>
      <c r="B82" s="14" t="s">
        <v>245</v>
      </c>
    </row>
    <row r="83" spans="1:2" x14ac:dyDescent="0.25">
      <c r="A83" s="14" t="s">
        <v>246</v>
      </c>
      <c r="B83" s="14" t="s">
        <v>247</v>
      </c>
    </row>
    <row r="84" spans="1:2" x14ac:dyDescent="0.25">
      <c r="A84" s="14" t="s">
        <v>248</v>
      </c>
      <c r="B84" s="14" t="s">
        <v>249</v>
      </c>
    </row>
    <row r="85" spans="1:2" x14ac:dyDescent="0.25">
      <c r="A85" s="14" t="s">
        <v>250</v>
      </c>
      <c r="B85" s="14" t="s">
        <v>251</v>
      </c>
    </row>
    <row r="86" spans="1:2" x14ac:dyDescent="0.25">
      <c r="A86" s="14" t="s">
        <v>252</v>
      </c>
      <c r="B86" s="14" t="s">
        <v>253</v>
      </c>
    </row>
    <row r="87" spans="1:2" x14ac:dyDescent="0.25">
      <c r="A87" s="14" t="s">
        <v>254</v>
      </c>
      <c r="B87" s="14" t="s">
        <v>255</v>
      </c>
    </row>
    <row r="88" spans="1:2" x14ac:dyDescent="0.25">
      <c r="A88" s="14" t="s">
        <v>256</v>
      </c>
      <c r="B88" s="14" t="s">
        <v>257</v>
      </c>
    </row>
    <row r="89" spans="1:2" x14ac:dyDescent="0.25">
      <c r="A89" s="109" t="s">
        <v>258</v>
      </c>
      <c r="B89" s="14" t="s">
        <v>259</v>
      </c>
    </row>
  </sheetData>
  <autoFilter ref="A2:AB68" xr:uid="{08790BBE-8903-460C-9219-05467772522B}"/>
  <conditionalFormatting sqref="U6:V65">
    <cfRule type="expression" dxfId="15" priority="25">
      <formula>#REF!&lt;&gt;U6</formula>
    </cfRule>
  </conditionalFormatting>
  <conditionalFormatting sqref="U67:V68">
    <cfRule type="expression" dxfId="14" priority="26">
      <formula>#REF!&lt;&gt;U67</formula>
    </cfRule>
  </conditionalFormatting>
  <conditionalFormatting sqref="U4:Z4">
    <cfRule type="expression" dxfId="13" priority="1">
      <formula>#REF!&lt;&gt;U4</formula>
    </cfRule>
  </conditionalFormatting>
  <conditionalFormatting sqref="W2:X3">
    <cfRule type="expression" dxfId="12" priority="21">
      <formula>$S7=TRUE</formula>
    </cfRule>
  </conditionalFormatting>
  <conditionalFormatting sqref="W6:X13 W16:X16 W57:X57">
    <cfRule type="expression" dxfId="11" priority="14">
      <formula>$S9=TRUE</formula>
    </cfRule>
  </conditionalFormatting>
  <conditionalFormatting sqref="W14:Z14 W17:Z17 W19:Z19 W21:Z21 W24:Z24 W26:Z26 W55:Z55 W58:Z58">
    <cfRule type="expression" dxfId="10" priority="4">
      <formula>$S18=TRUE</formula>
    </cfRule>
  </conditionalFormatting>
  <conditionalFormatting sqref="W15:Z15 W18:Z18 W20:Z20 W27:Z27 W56:Z56 W59:Z59">
    <cfRule type="expression" dxfId="9" priority="5">
      <formula>$S17=TRUE</formula>
    </cfRule>
  </conditionalFormatting>
  <conditionalFormatting sqref="W23:Z23 W25:Z25">
    <cfRule type="expression" dxfId="8" priority="6">
      <formula>$S24=TRUE</formula>
    </cfRule>
  </conditionalFormatting>
  <conditionalFormatting sqref="W60:Z60">
    <cfRule type="expression" dxfId="7" priority="8">
      <formula>$S69=TRUE</formula>
    </cfRule>
  </conditionalFormatting>
  <conditionalFormatting sqref="W61:Z62 W67:Z68">
    <cfRule type="expression" dxfId="6" priority="9">
      <formula>#REF!=TRUE</formula>
    </cfRule>
  </conditionalFormatting>
  <conditionalFormatting sqref="W63:Z63">
    <cfRule type="expression" dxfId="5" priority="3">
      <formula>$S69=TRUE</formula>
    </cfRule>
  </conditionalFormatting>
  <conditionalFormatting sqref="W64:Z65">
    <cfRule type="expression" dxfId="4" priority="2">
      <formula>#REF!=TRUE</formula>
    </cfRule>
  </conditionalFormatting>
  <conditionalFormatting sqref="Y2:Z2 W22:Z22">
    <cfRule type="expression" dxfId="3" priority="7">
      <formula>$S7=TRUE</formula>
    </cfRule>
  </conditionalFormatting>
  <conditionalFormatting sqref="Y6:Z29 W28:X29 W30:Z32 W33:X54 Y33:Z59">
    <cfRule type="expression" dxfId="2" priority="36">
      <formula>$S9=TRUE</formula>
    </cfRule>
  </conditionalFormatting>
  <pageMargins left="0.23622047244094491" right="0.23622047244094491" top="0.74803149606299213" bottom="0.74803149606299213" header="0.31496062992125984" footer="0.31496062992125984"/>
  <pageSetup paperSize="8" scale="55" fitToWidth="0" orientation="landscape" r:id="rId1"/>
  <headerFooter>
    <oddFooter>&amp;L&amp;F&amp;C&amp;D&amp;RPagina &amp;P van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30183-26F8-4F11-8DFB-928E694AEF61}">
  <dimension ref="A1:F118"/>
  <sheetViews>
    <sheetView workbookViewId="0">
      <selection activeCell="G16" sqref="G16"/>
    </sheetView>
  </sheetViews>
  <sheetFormatPr defaultRowHeight="15" x14ac:dyDescent="0.25"/>
  <cols>
    <col min="1" max="1" width="16.140625" bestFit="1" customWidth="1"/>
    <col min="2" max="2" width="16.140625" customWidth="1"/>
    <col min="3" max="3" width="11.5703125" bestFit="1" customWidth="1"/>
  </cols>
  <sheetData>
    <row r="1" spans="1:6" x14ac:dyDescent="0.25">
      <c r="B1" t="s">
        <v>360</v>
      </c>
      <c r="C1" t="s">
        <v>53</v>
      </c>
      <c r="D1" t="s">
        <v>361</v>
      </c>
      <c r="E1" t="s">
        <v>362</v>
      </c>
    </row>
    <row r="2" spans="1:6" x14ac:dyDescent="0.25">
      <c r="A2" t="s">
        <v>137</v>
      </c>
      <c r="B2">
        <v>245</v>
      </c>
      <c r="C2">
        <v>245</v>
      </c>
      <c r="D2">
        <v>245</v>
      </c>
      <c r="E2">
        <v>128</v>
      </c>
      <c r="F2" t="str">
        <f t="shared" ref="F2:F57" si="0">"#"&amp;DEC2HEX(E2,2)&amp;DEC2HEX(B2,2)&amp;DEC2HEX(C2,2)&amp;DEC2HEX(D2,2)</f>
        <v>#80F5F5F5</v>
      </c>
    </row>
    <row r="3" spans="1:6" x14ac:dyDescent="0.25">
      <c r="A3" t="s">
        <v>357</v>
      </c>
      <c r="B3">
        <v>245</v>
      </c>
      <c r="C3">
        <v>245</v>
      </c>
      <c r="D3">
        <v>244</v>
      </c>
      <c r="E3">
        <v>128</v>
      </c>
      <c r="F3" t="str">
        <f t="shared" si="0"/>
        <v>#80F5F5F4</v>
      </c>
    </row>
    <row r="4" spans="1:6" x14ac:dyDescent="0.25">
      <c r="A4" t="s">
        <v>134</v>
      </c>
      <c r="B4">
        <v>245</v>
      </c>
      <c r="C4">
        <v>245</v>
      </c>
      <c r="D4">
        <v>245</v>
      </c>
      <c r="E4">
        <v>128</v>
      </c>
      <c r="F4" t="str">
        <f t="shared" si="0"/>
        <v>#80F5F5F5</v>
      </c>
    </row>
    <row r="5" spans="1:6" x14ac:dyDescent="0.25">
      <c r="A5" t="s">
        <v>59</v>
      </c>
      <c r="B5">
        <v>196</v>
      </c>
      <c r="C5">
        <v>255</v>
      </c>
      <c r="D5">
        <v>117</v>
      </c>
      <c r="E5">
        <v>128</v>
      </c>
      <c r="F5" t="str">
        <f t="shared" si="0"/>
        <v>#80C4FF75</v>
      </c>
    </row>
    <row r="6" spans="1:6" x14ac:dyDescent="0.25">
      <c r="A6" t="s">
        <v>62</v>
      </c>
      <c r="B6">
        <v>163</v>
      </c>
      <c r="C6">
        <v>255</v>
      </c>
      <c r="D6">
        <v>71</v>
      </c>
      <c r="E6">
        <v>128</v>
      </c>
      <c r="F6" t="str">
        <f t="shared" si="0"/>
        <v>#80A3FF47</v>
      </c>
    </row>
    <row r="7" spans="1:6" x14ac:dyDescent="0.25">
      <c r="A7" t="s">
        <v>74</v>
      </c>
      <c r="B7">
        <v>153</v>
      </c>
      <c r="C7">
        <v>204</v>
      </c>
      <c r="D7">
        <v>0</v>
      </c>
      <c r="E7">
        <v>128</v>
      </c>
      <c r="F7" t="str">
        <f t="shared" si="0"/>
        <v>#8099CC00</v>
      </c>
    </row>
    <row r="8" spans="1:6" x14ac:dyDescent="0.25">
      <c r="A8" t="s">
        <v>76</v>
      </c>
      <c r="B8">
        <v>0</v>
      </c>
      <c r="C8">
        <v>128</v>
      </c>
      <c r="D8">
        <v>128</v>
      </c>
      <c r="E8">
        <v>128</v>
      </c>
      <c r="F8" t="str">
        <f t="shared" si="0"/>
        <v>#80008080</v>
      </c>
    </row>
    <row r="9" spans="1:6" x14ac:dyDescent="0.25">
      <c r="A9" t="s">
        <v>125</v>
      </c>
      <c r="B9">
        <v>116</v>
      </c>
      <c r="C9">
        <v>39</v>
      </c>
      <c r="D9">
        <v>0</v>
      </c>
      <c r="E9">
        <v>128</v>
      </c>
      <c r="F9" t="str">
        <f t="shared" si="0"/>
        <v>#80742700</v>
      </c>
    </row>
    <row r="10" spans="1:6" x14ac:dyDescent="0.25">
      <c r="A10" t="s">
        <v>123</v>
      </c>
      <c r="B10">
        <v>153</v>
      </c>
      <c r="C10">
        <v>51</v>
      </c>
      <c r="D10">
        <v>0</v>
      </c>
      <c r="E10">
        <v>128</v>
      </c>
      <c r="F10" t="str">
        <f t="shared" si="0"/>
        <v>#80993300</v>
      </c>
    </row>
    <row r="11" spans="1:6" x14ac:dyDescent="0.25">
      <c r="A11" t="s">
        <v>165</v>
      </c>
      <c r="B11">
        <v>231</v>
      </c>
      <c r="C11">
        <v>226</v>
      </c>
      <c r="D11">
        <v>0</v>
      </c>
      <c r="E11">
        <v>128</v>
      </c>
      <c r="F11" t="str">
        <f t="shared" si="0"/>
        <v>#80E7E200</v>
      </c>
    </row>
    <row r="12" spans="1:6" x14ac:dyDescent="0.25">
      <c r="A12" t="s">
        <v>155</v>
      </c>
      <c r="B12">
        <v>255</v>
      </c>
      <c r="C12">
        <v>204</v>
      </c>
      <c r="D12">
        <v>0</v>
      </c>
      <c r="E12">
        <v>128</v>
      </c>
      <c r="F12" t="str">
        <f t="shared" si="0"/>
        <v>#80FFCC00</v>
      </c>
    </row>
    <row r="13" spans="1:6" x14ac:dyDescent="0.25">
      <c r="A13" t="s">
        <v>175</v>
      </c>
      <c r="B13">
        <v>255</v>
      </c>
      <c r="C13">
        <v>255</v>
      </c>
      <c r="D13">
        <v>102</v>
      </c>
      <c r="E13">
        <v>128</v>
      </c>
      <c r="F13" t="str">
        <f t="shared" si="0"/>
        <v>#80FFFF66</v>
      </c>
    </row>
    <row r="14" spans="1:6" x14ac:dyDescent="0.25">
      <c r="A14" t="s">
        <v>130</v>
      </c>
      <c r="B14">
        <v>128</v>
      </c>
      <c r="C14">
        <v>128</v>
      </c>
      <c r="D14">
        <v>128</v>
      </c>
      <c r="E14">
        <v>128</v>
      </c>
      <c r="F14" t="str">
        <f t="shared" si="0"/>
        <v>#80808080</v>
      </c>
    </row>
    <row r="15" spans="1:6" x14ac:dyDescent="0.25">
      <c r="A15" t="s">
        <v>132</v>
      </c>
      <c r="B15">
        <v>192</v>
      </c>
      <c r="C15">
        <v>192</v>
      </c>
      <c r="D15">
        <v>192</v>
      </c>
      <c r="E15">
        <v>128</v>
      </c>
      <c r="F15" t="str">
        <f t="shared" si="0"/>
        <v>#80C0C0C0</v>
      </c>
    </row>
    <row r="16" spans="1:6" x14ac:dyDescent="0.25">
      <c r="A16" t="s">
        <v>50</v>
      </c>
      <c r="B16">
        <v>242</v>
      </c>
      <c r="C16">
        <v>221</v>
      </c>
      <c r="D16">
        <v>64</v>
      </c>
      <c r="E16">
        <v>128</v>
      </c>
      <c r="F16" t="str">
        <f t="shared" si="0"/>
        <v>#80F2DD40</v>
      </c>
    </row>
    <row r="17" spans="1:6" x14ac:dyDescent="0.25">
      <c r="A17" t="s">
        <v>148</v>
      </c>
      <c r="B17">
        <v>245</v>
      </c>
      <c r="C17">
        <v>245</v>
      </c>
      <c r="D17">
        <v>245</v>
      </c>
      <c r="E17">
        <v>128</v>
      </c>
      <c r="F17" t="str">
        <f t="shared" si="0"/>
        <v>#80F5F5F5</v>
      </c>
    </row>
    <row r="18" spans="1:6" x14ac:dyDescent="0.25">
      <c r="A18" t="s">
        <v>69</v>
      </c>
      <c r="B18">
        <v>0</v>
      </c>
      <c r="C18">
        <v>128</v>
      </c>
      <c r="D18">
        <v>128</v>
      </c>
      <c r="E18">
        <v>128</v>
      </c>
      <c r="F18" t="str">
        <f t="shared" si="0"/>
        <v>#80008080</v>
      </c>
    </row>
    <row r="19" spans="1:6" x14ac:dyDescent="0.25">
      <c r="A19" t="s">
        <v>67</v>
      </c>
      <c r="B19">
        <v>0</v>
      </c>
      <c r="C19">
        <v>128</v>
      </c>
      <c r="D19">
        <v>128</v>
      </c>
      <c r="E19">
        <v>128</v>
      </c>
      <c r="F19" t="str">
        <f t="shared" si="0"/>
        <v>#80008080</v>
      </c>
    </row>
    <row r="20" spans="1:6" x14ac:dyDescent="0.25">
      <c r="A20" t="s">
        <v>79</v>
      </c>
      <c r="B20">
        <v>41</v>
      </c>
      <c r="C20">
        <v>117</v>
      </c>
      <c r="D20">
        <v>81</v>
      </c>
      <c r="E20">
        <v>128</v>
      </c>
      <c r="F20" t="str">
        <f t="shared" si="0"/>
        <v>#80297551</v>
      </c>
    </row>
    <row r="21" spans="1:6" x14ac:dyDescent="0.25">
      <c r="A21" t="s">
        <v>161</v>
      </c>
      <c r="B21">
        <v>204</v>
      </c>
      <c r="C21">
        <v>204</v>
      </c>
      <c r="D21">
        <v>0</v>
      </c>
      <c r="E21">
        <v>128</v>
      </c>
      <c r="F21" t="str">
        <f t="shared" si="0"/>
        <v>#80CCCC00</v>
      </c>
    </row>
    <row r="22" spans="1:6" x14ac:dyDescent="0.25">
      <c r="A22" t="s">
        <v>187</v>
      </c>
      <c r="B22">
        <v>255</v>
      </c>
      <c r="C22">
        <v>0</v>
      </c>
      <c r="D22">
        <v>255</v>
      </c>
      <c r="E22">
        <v>128</v>
      </c>
      <c r="F22" t="str">
        <f t="shared" si="0"/>
        <v>#80FF00FF</v>
      </c>
    </row>
    <row r="23" spans="1:6" x14ac:dyDescent="0.25">
      <c r="A23" t="s">
        <v>157</v>
      </c>
      <c r="B23">
        <v>128</v>
      </c>
      <c r="C23">
        <v>128</v>
      </c>
      <c r="D23">
        <v>0</v>
      </c>
      <c r="E23">
        <v>128</v>
      </c>
      <c r="F23" t="str">
        <f t="shared" si="0"/>
        <v>#80808000</v>
      </c>
    </row>
    <row r="24" spans="1:6" x14ac:dyDescent="0.25">
      <c r="A24" t="s">
        <v>194</v>
      </c>
      <c r="B24">
        <v>255</v>
      </c>
      <c r="C24">
        <v>168</v>
      </c>
      <c r="D24">
        <v>151</v>
      </c>
      <c r="E24">
        <v>128</v>
      </c>
      <c r="F24" t="str">
        <f t="shared" si="0"/>
        <v>#80FFA897</v>
      </c>
    </row>
    <row r="25" spans="1:6" x14ac:dyDescent="0.25">
      <c r="A25" t="s">
        <v>127</v>
      </c>
      <c r="B25">
        <v>153</v>
      </c>
      <c r="C25">
        <v>51</v>
      </c>
      <c r="D25">
        <v>0</v>
      </c>
      <c r="E25">
        <v>128</v>
      </c>
      <c r="F25" t="str">
        <f t="shared" si="0"/>
        <v>#80993300</v>
      </c>
    </row>
    <row r="26" spans="1:6" x14ac:dyDescent="0.25">
      <c r="A26" t="s">
        <v>169</v>
      </c>
      <c r="B26">
        <v>128</v>
      </c>
      <c r="C26">
        <v>128</v>
      </c>
      <c r="D26">
        <v>0</v>
      </c>
      <c r="E26">
        <v>128</v>
      </c>
      <c r="F26" t="str">
        <f t="shared" si="0"/>
        <v>#80808000</v>
      </c>
    </row>
    <row r="27" spans="1:6" x14ac:dyDescent="0.25">
      <c r="A27" t="s">
        <v>196</v>
      </c>
      <c r="B27">
        <v>223</v>
      </c>
      <c r="C27">
        <v>151</v>
      </c>
      <c r="D27">
        <v>255</v>
      </c>
      <c r="E27">
        <v>128</v>
      </c>
      <c r="F27" t="str">
        <f t="shared" si="0"/>
        <v>#80DF97FF</v>
      </c>
    </row>
    <row r="28" spans="1:6" x14ac:dyDescent="0.25">
      <c r="A28" t="s">
        <v>64</v>
      </c>
      <c r="B28">
        <v>51</v>
      </c>
      <c r="C28">
        <v>204</v>
      </c>
      <c r="D28">
        <v>204</v>
      </c>
      <c r="E28">
        <v>128</v>
      </c>
      <c r="F28" t="str">
        <f t="shared" si="0"/>
        <v>#8033CCCC</v>
      </c>
    </row>
    <row r="29" spans="1:6" x14ac:dyDescent="0.25">
      <c r="A29" t="s">
        <v>181</v>
      </c>
      <c r="B29">
        <v>255</v>
      </c>
      <c r="C29">
        <v>0</v>
      </c>
      <c r="D29">
        <v>0</v>
      </c>
      <c r="E29">
        <v>128</v>
      </c>
      <c r="F29" t="str">
        <f t="shared" si="0"/>
        <v>#80FF0000</v>
      </c>
    </row>
    <row r="30" spans="1:6" x14ac:dyDescent="0.25">
      <c r="A30" t="s">
        <v>152</v>
      </c>
      <c r="B30">
        <v>0</v>
      </c>
      <c r="C30">
        <v>214</v>
      </c>
      <c r="D30">
        <v>163</v>
      </c>
      <c r="E30">
        <v>128</v>
      </c>
      <c r="F30" t="str">
        <f t="shared" si="0"/>
        <v>#8000D6A3</v>
      </c>
    </row>
    <row r="31" spans="1:6" x14ac:dyDescent="0.25">
      <c r="A31" t="s">
        <v>105</v>
      </c>
      <c r="B31">
        <v>204</v>
      </c>
      <c r="C31">
        <v>255</v>
      </c>
      <c r="D31">
        <v>204</v>
      </c>
      <c r="E31">
        <v>128</v>
      </c>
      <c r="F31" t="str">
        <f t="shared" si="0"/>
        <v>#80CCFFCC</v>
      </c>
    </row>
    <row r="32" spans="1:6" x14ac:dyDescent="0.25">
      <c r="A32" t="s">
        <v>115</v>
      </c>
      <c r="B32">
        <v>142</v>
      </c>
      <c r="C32">
        <v>149</v>
      </c>
      <c r="D32">
        <v>147</v>
      </c>
      <c r="E32">
        <v>128</v>
      </c>
      <c r="F32" t="str">
        <f t="shared" si="0"/>
        <v>#808E9593</v>
      </c>
    </row>
    <row r="33" spans="1:6" x14ac:dyDescent="0.25">
      <c r="A33" t="s">
        <v>172</v>
      </c>
      <c r="B33">
        <v>255</v>
      </c>
      <c r="C33">
        <v>204</v>
      </c>
      <c r="D33">
        <v>0</v>
      </c>
      <c r="E33">
        <v>128</v>
      </c>
      <c r="F33" t="str">
        <f t="shared" si="0"/>
        <v>#80FFCC00</v>
      </c>
    </row>
    <row r="34" spans="1:6" x14ac:dyDescent="0.25">
      <c r="A34" t="s">
        <v>108</v>
      </c>
      <c r="B34">
        <v>204</v>
      </c>
      <c r="C34">
        <v>255</v>
      </c>
      <c r="D34">
        <v>204</v>
      </c>
      <c r="E34">
        <v>128</v>
      </c>
      <c r="F34" t="str">
        <f t="shared" si="0"/>
        <v>#80CCFFCC</v>
      </c>
    </row>
    <row r="35" spans="1:6" x14ac:dyDescent="0.25">
      <c r="A35" t="s">
        <v>109</v>
      </c>
      <c r="B35">
        <v>0</v>
      </c>
      <c r="C35">
        <v>255</v>
      </c>
      <c r="D35">
        <v>0</v>
      </c>
      <c r="E35">
        <v>128</v>
      </c>
      <c r="F35" t="str">
        <f t="shared" si="0"/>
        <v>#8000FF00</v>
      </c>
    </row>
    <row r="36" spans="1:6" x14ac:dyDescent="0.25">
      <c r="A36" t="s">
        <v>163</v>
      </c>
      <c r="B36">
        <v>231</v>
      </c>
      <c r="C36">
        <v>226</v>
      </c>
      <c r="D36">
        <v>0</v>
      </c>
      <c r="E36">
        <v>128</v>
      </c>
      <c r="F36" t="str">
        <f t="shared" si="0"/>
        <v>#80E7E200</v>
      </c>
    </row>
    <row r="37" spans="1:6" x14ac:dyDescent="0.25">
      <c r="A37" t="s">
        <v>97</v>
      </c>
      <c r="B37">
        <v>255</v>
      </c>
      <c r="C37">
        <v>255</v>
      </c>
      <c r="D37">
        <v>0</v>
      </c>
      <c r="E37">
        <v>128</v>
      </c>
      <c r="F37" t="str">
        <f t="shared" si="0"/>
        <v>#80FFFF00</v>
      </c>
    </row>
    <row r="38" spans="1:6" x14ac:dyDescent="0.25">
      <c r="A38" t="s">
        <v>183</v>
      </c>
      <c r="B38">
        <v>166</v>
      </c>
      <c r="C38">
        <v>166</v>
      </c>
      <c r="D38">
        <v>166</v>
      </c>
      <c r="E38">
        <v>128</v>
      </c>
      <c r="F38" t="str">
        <f t="shared" si="0"/>
        <v>#80A6A6A6</v>
      </c>
    </row>
    <row r="39" spans="1:6" x14ac:dyDescent="0.25">
      <c r="A39" t="s">
        <v>101</v>
      </c>
      <c r="B39">
        <v>102</v>
      </c>
      <c r="C39">
        <v>102</v>
      </c>
      <c r="D39">
        <v>51</v>
      </c>
      <c r="E39">
        <v>128</v>
      </c>
      <c r="F39" t="str">
        <f t="shared" si="0"/>
        <v>#80666633</v>
      </c>
    </row>
    <row r="40" spans="1:6" x14ac:dyDescent="0.25">
      <c r="A40" t="s">
        <v>185</v>
      </c>
      <c r="B40">
        <v>166</v>
      </c>
      <c r="C40">
        <v>166</v>
      </c>
      <c r="D40">
        <v>166</v>
      </c>
      <c r="E40">
        <v>128</v>
      </c>
      <c r="F40" t="str">
        <f t="shared" si="0"/>
        <v>#80A6A6A6</v>
      </c>
    </row>
    <row r="41" spans="1:6" x14ac:dyDescent="0.25">
      <c r="A41" t="s">
        <v>104</v>
      </c>
      <c r="B41">
        <v>102</v>
      </c>
      <c r="C41">
        <v>102</v>
      </c>
      <c r="D41">
        <v>51</v>
      </c>
      <c r="E41">
        <v>128</v>
      </c>
      <c r="F41" t="str">
        <f t="shared" si="0"/>
        <v>#80666633</v>
      </c>
    </row>
    <row r="42" spans="1:6" x14ac:dyDescent="0.25">
      <c r="A42" t="s">
        <v>113</v>
      </c>
      <c r="B42">
        <v>0</v>
      </c>
      <c r="C42">
        <v>255</v>
      </c>
      <c r="D42">
        <v>0</v>
      </c>
      <c r="E42">
        <v>128</v>
      </c>
      <c r="F42" t="str">
        <f t="shared" si="0"/>
        <v>#8000FF00</v>
      </c>
    </row>
    <row r="43" spans="1:6" x14ac:dyDescent="0.25">
      <c r="A43" t="s">
        <v>198</v>
      </c>
      <c r="B43">
        <v>0</v>
      </c>
      <c r="C43">
        <v>214</v>
      </c>
      <c r="D43">
        <v>163</v>
      </c>
      <c r="E43">
        <v>128</v>
      </c>
      <c r="F43" t="str">
        <f t="shared" si="0"/>
        <v>#8000D6A3</v>
      </c>
    </row>
    <row r="44" spans="1:6" x14ac:dyDescent="0.25">
      <c r="A44" t="s">
        <v>156</v>
      </c>
      <c r="B44">
        <v>255</v>
      </c>
      <c r="C44">
        <v>227</v>
      </c>
      <c r="D44">
        <v>109</v>
      </c>
      <c r="E44">
        <v>128</v>
      </c>
      <c r="F44" t="str">
        <f t="shared" si="0"/>
        <v>#80FFE36D</v>
      </c>
    </row>
    <row r="45" spans="1:6" x14ac:dyDescent="0.25">
      <c r="A45" t="s">
        <v>94</v>
      </c>
      <c r="B45">
        <v>255</v>
      </c>
      <c r="C45">
        <v>204</v>
      </c>
      <c r="D45">
        <v>153</v>
      </c>
      <c r="E45">
        <v>128</v>
      </c>
      <c r="F45" t="str">
        <f t="shared" si="0"/>
        <v>#80FFCC99</v>
      </c>
    </row>
    <row r="46" spans="1:6" x14ac:dyDescent="0.25">
      <c r="A46" t="s">
        <v>140</v>
      </c>
      <c r="B46">
        <v>245</v>
      </c>
      <c r="C46">
        <v>245</v>
      </c>
      <c r="D46">
        <v>245</v>
      </c>
      <c r="E46">
        <v>128</v>
      </c>
      <c r="F46" t="str">
        <f t="shared" si="0"/>
        <v>#80F5F5F5</v>
      </c>
    </row>
    <row r="47" spans="1:6" x14ac:dyDescent="0.25">
      <c r="A47" t="s">
        <v>142</v>
      </c>
      <c r="B47">
        <v>245</v>
      </c>
      <c r="C47">
        <v>245</v>
      </c>
      <c r="D47">
        <v>245</v>
      </c>
      <c r="E47">
        <v>128</v>
      </c>
      <c r="F47" t="str">
        <f t="shared" si="0"/>
        <v>#80F5F5F5</v>
      </c>
    </row>
    <row r="48" spans="1:6" x14ac:dyDescent="0.25">
      <c r="A48" t="s">
        <v>177</v>
      </c>
      <c r="B48">
        <v>128</v>
      </c>
      <c r="C48">
        <v>128</v>
      </c>
      <c r="D48">
        <v>0</v>
      </c>
      <c r="E48">
        <v>128</v>
      </c>
      <c r="F48" t="str">
        <f t="shared" si="0"/>
        <v>#80808000</v>
      </c>
    </row>
    <row r="49" spans="1:6" x14ac:dyDescent="0.25">
      <c r="A49" t="s">
        <v>117</v>
      </c>
      <c r="B49">
        <v>125</v>
      </c>
      <c r="C49">
        <v>160</v>
      </c>
      <c r="D49">
        <v>48</v>
      </c>
      <c r="E49">
        <v>128</v>
      </c>
      <c r="F49" t="str">
        <f t="shared" si="0"/>
        <v>#807DA030</v>
      </c>
    </row>
    <row r="50" spans="1:6" x14ac:dyDescent="0.25">
      <c r="A50" t="s">
        <v>99</v>
      </c>
      <c r="B50">
        <v>255</v>
      </c>
      <c r="C50">
        <v>255</v>
      </c>
      <c r="D50">
        <v>153</v>
      </c>
      <c r="E50">
        <v>128</v>
      </c>
      <c r="F50" t="str">
        <f t="shared" si="0"/>
        <v>#80FFFF99</v>
      </c>
    </row>
    <row r="51" spans="1:6" x14ac:dyDescent="0.25">
      <c r="A51" t="s">
        <v>154</v>
      </c>
      <c r="B51">
        <v>255</v>
      </c>
      <c r="C51">
        <v>153</v>
      </c>
      <c r="D51">
        <v>0</v>
      </c>
      <c r="E51">
        <v>128</v>
      </c>
      <c r="F51" t="str">
        <f t="shared" si="0"/>
        <v>#80FF9900</v>
      </c>
    </row>
    <row r="52" spans="1:6" x14ac:dyDescent="0.25">
      <c r="A52" t="s">
        <v>119</v>
      </c>
      <c r="B52">
        <v>128</v>
      </c>
      <c r="C52">
        <v>0</v>
      </c>
      <c r="D52">
        <v>0</v>
      </c>
      <c r="E52">
        <v>128</v>
      </c>
      <c r="F52" t="str">
        <f t="shared" si="0"/>
        <v>#80800000</v>
      </c>
    </row>
    <row r="53" spans="1:6" x14ac:dyDescent="0.25">
      <c r="A53" t="s">
        <v>83</v>
      </c>
      <c r="B53">
        <v>0</v>
      </c>
      <c r="C53">
        <v>111</v>
      </c>
      <c r="D53">
        <v>108</v>
      </c>
      <c r="E53">
        <v>128</v>
      </c>
      <c r="F53" t="str">
        <f t="shared" si="0"/>
        <v>#80006F6C</v>
      </c>
    </row>
    <row r="54" spans="1:6" x14ac:dyDescent="0.25">
      <c r="E54">
        <v>0</v>
      </c>
      <c r="F54" t="str">
        <f t="shared" si="0"/>
        <v>#00000000</v>
      </c>
    </row>
    <row r="55" spans="1:6" x14ac:dyDescent="0.25">
      <c r="A55" t="s">
        <v>50</v>
      </c>
      <c r="E55">
        <v>0</v>
      </c>
      <c r="F55" t="str">
        <f t="shared" si="0"/>
        <v>#00000000</v>
      </c>
    </row>
    <row r="56" spans="1:6" x14ac:dyDescent="0.25">
      <c r="A56" t="s">
        <v>59</v>
      </c>
      <c r="E56">
        <v>0</v>
      </c>
      <c r="F56" t="str">
        <f t="shared" si="0"/>
        <v>#00000000</v>
      </c>
    </row>
    <row r="57" spans="1:6" x14ac:dyDescent="0.25">
      <c r="A57" t="s">
        <v>62</v>
      </c>
      <c r="E57">
        <v>0</v>
      </c>
      <c r="F57" t="str">
        <f t="shared" si="0"/>
        <v>#00000000</v>
      </c>
    </row>
    <row r="58" spans="1:6" x14ac:dyDescent="0.25">
      <c r="A58" t="s">
        <v>64</v>
      </c>
      <c r="E58">
        <v>0</v>
      </c>
      <c r="F58" t="s">
        <v>363</v>
      </c>
    </row>
    <row r="59" spans="1:6" x14ac:dyDescent="0.25">
      <c r="A59" t="s">
        <v>67</v>
      </c>
      <c r="E59">
        <v>0</v>
      </c>
      <c r="F59" t="s">
        <v>363</v>
      </c>
    </row>
    <row r="60" spans="1:6" x14ac:dyDescent="0.25">
      <c r="A60" t="s">
        <v>69</v>
      </c>
      <c r="E60">
        <v>0</v>
      </c>
      <c r="F60" t="s">
        <v>363</v>
      </c>
    </row>
    <row r="61" spans="1:6" x14ac:dyDescent="0.25">
      <c r="A61" t="s">
        <v>74</v>
      </c>
      <c r="E61">
        <v>0</v>
      </c>
      <c r="F61" t="s">
        <v>363</v>
      </c>
    </row>
    <row r="62" spans="1:6" x14ac:dyDescent="0.25">
      <c r="A62" t="s">
        <v>76</v>
      </c>
      <c r="E62">
        <v>0</v>
      </c>
      <c r="F62" t="s">
        <v>363</v>
      </c>
    </row>
    <row r="63" spans="1:6" x14ac:dyDescent="0.25">
      <c r="A63" t="s">
        <v>79</v>
      </c>
      <c r="E63">
        <v>0</v>
      </c>
      <c r="F63" t="s">
        <v>363</v>
      </c>
    </row>
    <row r="64" spans="1:6" x14ac:dyDescent="0.25">
      <c r="A64" t="s">
        <v>83</v>
      </c>
      <c r="E64">
        <v>0</v>
      </c>
      <c r="F64" t="s">
        <v>363</v>
      </c>
    </row>
    <row r="65" spans="1:6" x14ac:dyDescent="0.25">
      <c r="A65" t="s">
        <v>85</v>
      </c>
      <c r="E65">
        <v>0</v>
      </c>
      <c r="F65" t="s">
        <v>363</v>
      </c>
    </row>
    <row r="66" spans="1:6" x14ac:dyDescent="0.25">
      <c r="A66" t="s">
        <v>87</v>
      </c>
      <c r="E66">
        <v>0</v>
      </c>
      <c r="F66" t="s">
        <v>363</v>
      </c>
    </row>
    <row r="67" spans="1:6" x14ac:dyDescent="0.25">
      <c r="A67" t="s">
        <v>91</v>
      </c>
      <c r="E67">
        <v>0</v>
      </c>
      <c r="F67" t="s">
        <v>363</v>
      </c>
    </row>
    <row r="68" spans="1:6" x14ac:dyDescent="0.25">
      <c r="A68" t="s">
        <v>93</v>
      </c>
      <c r="E68">
        <v>0</v>
      </c>
      <c r="F68" t="s">
        <v>363</v>
      </c>
    </row>
    <row r="69" spans="1:6" x14ac:dyDescent="0.25">
      <c r="A69" t="s">
        <v>94</v>
      </c>
      <c r="E69">
        <v>0</v>
      </c>
      <c r="F69" t="s">
        <v>363</v>
      </c>
    </row>
    <row r="70" spans="1:6" x14ac:dyDescent="0.25">
      <c r="A70" t="s">
        <v>97</v>
      </c>
      <c r="E70">
        <v>0</v>
      </c>
      <c r="F70" t="s">
        <v>363</v>
      </c>
    </row>
    <row r="71" spans="1:6" x14ac:dyDescent="0.25">
      <c r="A71" t="s">
        <v>99</v>
      </c>
      <c r="E71">
        <v>0</v>
      </c>
      <c r="F71" t="s">
        <v>363</v>
      </c>
    </row>
    <row r="72" spans="1:6" x14ac:dyDescent="0.25">
      <c r="A72" t="s">
        <v>101</v>
      </c>
      <c r="E72">
        <v>0</v>
      </c>
      <c r="F72" t="s">
        <v>363</v>
      </c>
    </row>
    <row r="73" spans="1:6" x14ac:dyDescent="0.25">
      <c r="A73" t="s">
        <v>104</v>
      </c>
      <c r="E73">
        <v>0</v>
      </c>
      <c r="F73" t="s">
        <v>363</v>
      </c>
    </row>
    <row r="74" spans="1:6" x14ac:dyDescent="0.25">
      <c r="A74" t="s">
        <v>105</v>
      </c>
      <c r="E74">
        <v>0</v>
      </c>
      <c r="F74" t="s">
        <v>363</v>
      </c>
    </row>
    <row r="75" spans="1:6" x14ac:dyDescent="0.25">
      <c r="A75" t="s">
        <v>108</v>
      </c>
      <c r="E75">
        <v>0</v>
      </c>
      <c r="F75" t="s">
        <v>363</v>
      </c>
    </row>
    <row r="76" spans="1:6" x14ac:dyDescent="0.25">
      <c r="A76" t="s">
        <v>109</v>
      </c>
      <c r="E76">
        <v>0</v>
      </c>
      <c r="F76" t="s">
        <v>363</v>
      </c>
    </row>
    <row r="77" spans="1:6" x14ac:dyDescent="0.25">
      <c r="A77" t="s">
        <v>113</v>
      </c>
      <c r="E77">
        <v>0</v>
      </c>
      <c r="F77" t="s">
        <v>363</v>
      </c>
    </row>
    <row r="78" spans="1:6" x14ac:dyDescent="0.25">
      <c r="A78" t="s">
        <v>115</v>
      </c>
      <c r="E78">
        <v>0</v>
      </c>
      <c r="F78" t="s">
        <v>363</v>
      </c>
    </row>
    <row r="79" spans="1:6" x14ac:dyDescent="0.25">
      <c r="A79" t="s">
        <v>117</v>
      </c>
      <c r="E79">
        <v>0</v>
      </c>
      <c r="F79" t="s">
        <v>363</v>
      </c>
    </row>
    <row r="80" spans="1:6" x14ac:dyDescent="0.25">
      <c r="A80" t="s">
        <v>119</v>
      </c>
      <c r="E80">
        <v>0</v>
      </c>
      <c r="F80" t="s">
        <v>363</v>
      </c>
    </row>
    <row r="81" spans="1:6" x14ac:dyDescent="0.25">
      <c r="A81" t="s">
        <v>123</v>
      </c>
      <c r="E81">
        <v>0</v>
      </c>
      <c r="F81" t="s">
        <v>363</v>
      </c>
    </row>
    <row r="82" spans="1:6" x14ac:dyDescent="0.25">
      <c r="A82" t="s">
        <v>125</v>
      </c>
      <c r="E82">
        <v>0</v>
      </c>
      <c r="F82" t="s">
        <v>363</v>
      </c>
    </row>
    <row r="83" spans="1:6" x14ac:dyDescent="0.25">
      <c r="A83" t="s">
        <v>127</v>
      </c>
      <c r="E83">
        <v>0</v>
      </c>
      <c r="F83" t="s">
        <v>363</v>
      </c>
    </row>
    <row r="84" spans="1:6" x14ac:dyDescent="0.25">
      <c r="A84" t="s">
        <v>130</v>
      </c>
      <c r="E84">
        <v>0</v>
      </c>
      <c r="F84" t="s">
        <v>363</v>
      </c>
    </row>
    <row r="85" spans="1:6" x14ac:dyDescent="0.25">
      <c r="A85" t="s">
        <v>132</v>
      </c>
      <c r="E85">
        <v>0</v>
      </c>
      <c r="F85" t="s">
        <v>363</v>
      </c>
    </row>
    <row r="86" spans="1:6" x14ac:dyDescent="0.25">
      <c r="A86" t="s">
        <v>134</v>
      </c>
      <c r="E86">
        <v>0</v>
      </c>
      <c r="F86" t="s">
        <v>363</v>
      </c>
    </row>
    <row r="87" spans="1:6" x14ac:dyDescent="0.25">
      <c r="A87" t="s">
        <v>137</v>
      </c>
      <c r="E87">
        <v>0</v>
      </c>
      <c r="F87" t="s">
        <v>363</v>
      </c>
    </row>
    <row r="88" spans="1:6" x14ac:dyDescent="0.25">
      <c r="A88" t="s">
        <v>140</v>
      </c>
      <c r="E88">
        <v>0</v>
      </c>
      <c r="F88" t="s">
        <v>363</v>
      </c>
    </row>
    <row r="89" spans="1:6" x14ac:dyDescent="0.25">
      <c r="A89" t="s">
        <v>142</v>
      </c>
      <c r="E89">
        <v>0</v>
      </c>
      <c r="F89" t="s">
        <v>363</v>
      </c>
    </row>
    <row r="90" spans="1:6" x14ac:dyDescent="0.25">
      <c r="A90" t="s">
        <v>144</v>
      </c>
      <c r="E90">
        <v>0</v>
      </c>
      <c r="F90" t="s">
        <v>363</v>
      </c>
    </row>
    <row r="91" spans="1:6" x14ac:dyDescent="0.25">
      <c r="A91" t="s">
        <v>149</v>
      </c>
      <c r="E91">
        <v>0</v>
      </c>
      <c r="F91" t="s">
        <v>363</v>
      </c>
    </row>
    <row r="92" spans="1:6" x14ac:dyDescent="0.25">
      <c r="A92" t="s">
        <v>150</v>
      </c>
      <c r="E92">
        <v>0</v>
      </c>
      <c r="F92" t="s">
        <v>363</v>
      </c>
    </row>
    <row r="93" spans="1:6" x14ac:dyDescent="0.25">
      <c r="A93" t="s">
        <v>152</v>
      </c>
      <c r="E93">
        <v>0</v>
      </c>
      <c r="F93" t="s">
        <v>363</v>
      </c>
    </row>
    <row r="94" spans="1:6" x14ac:dyDescent="0.25">
      <c r="A94" t="s">
        <v>154</v>
      </c>
      <c r="E94">
        <v>0</v>
      </c>
      <c r="F94" t="s">
        <v>363</v>
      </c>
    </row>
    <row r="95" spans="1:6" x14ac:dyDescent="0.25">
      <c r="A95" t="s">
        <v>155</v>
      </c>
      <c r="E95">
        <v>0</v>
      </c>
      <c r="F95" t="s">
        <v>363</v>
      </c>
    </row>
    <row r="96" spans="1:6" x14ac:dyDescent="0.25">
      <c r="A96" t="s">
        <v>156</v>
      </c>
      <c r="E96">
        <v>0</v>
      </c>
      <c r="F96" t="s">
        <v>363</v>
      </c>
    </row>
    <row r="97" spans="1:6" x14ac:dyDescent="0.25">
      <c r="A97" t="s">
        <v>157</v>
      </c>
      <c r="E97">
        <v>0</v>
      </c>
      <c r="F97" t="s">
        <v>363</v>
      </c>
    </row>
    <row r="98" spans="1:6" x14ac:dyDescent="0.25">
      <c r="A98" t="s">
        <v>161</v>
      </c>
      <c r="E98">
        <v>0</v>
      </c>
      <c r="F98" t="s">
        <v>363</v>
      </c>
    </row>
    <row r="99" spans="1:6" x14ac:dyDescent="0.25">
      <c r="A99" t="s">
        <v>163</v>
      </c>
      <c r="E99">
        <v>0</v>
      </c>
      <c r="F99" t="s">
        <v>363</v>
      </c>
    </row>
    <row r="100" spans="1:6" x14ac:dyDescent="0.25">
      <c r="A100" t="s">
        <v>165</v>
      </c>
      <c r="E100">
        <v>0</v>
      </c>
      <c r="F100" t="s">
        <v>363</v>
      </c>
    </row>
    <row r="101" spans="1:6" x14ac:dyDescent="0.25">
      <c r="A101" t="s">
        <v>169</v>
      </c>
      <c r="E101">
        <v>0</v>
      </c>
      <c r="F101" t="s">
        <v>363</v>
      </c>
    </row>
    <row r="102" spans="1:6" x14ac:dyDescent="0.25">
      <c r="A102" t="s">
        <v>172</v>
      </c>
      <c r="E102">
        <v>0</v>
      </c>
      <c r="F102" t="s">
        <v>363</v>
      </c>
    </row>
    <row r="103" spans="1:6" x14ac:dyDescent="0.25">
      <c r="A103" t="s">
        <v>175</v>
      </c>
      <c r="E103">
        <v>0</v>
      </c>
      <c r="F103" t="s">
        <v>363</v>
      </c>
    </row>
    <row r="104" spans="1:6" x14ac:dyDescent="0.25">
      <c r="A104" t="s">
        <v>177</v>
      </c>
      <c r="E104">
        <v>0</v>
      </c>
      <c r="F104" t="s">
        <v>363</v>
      </c>
    </row>
    <row r="105" spans="1:6" x14ac:dyDescent="0.25">
      <c r="A105" t="s">
        <v>181</v>
      </c>
      <c r="E105">
        <v>0</v>
      </c>
      <c r="F105" t="s">
        <v>363</v>
      </c>
    </row>
    <row r="106" spans="1:6" x14ac:dyDescent="0.25">
      <c r="A106" t="s">
        <v>183</v>
      </c>
      <c r="E106">
        <v>0</v>
      </c>
      <c r="F106" t="s">
        <v>363</v>
      </c>
    </row>
    <row r="107" spans="1:6" x14ac:dyDescent="0.25">
      <c r="A107" t="s">
        <v>185</v>
      </c>
      <c r="E107">
        <v>0</v>
      </c>
      <c r="F107" t="s">
        <v>363</v>
      </c>
    </row>
    <row r="108" spans="1:6" x14ac:dyDescent="0.25">
      <c r="A108" t="s">
        <v>187</v>
      </c>
      <c r="E108">
        <v>0</v>
      </c>
      <c r="F108" t="s">
        <v>363</v>
      </c>
    </row>
    <row r="109" spans="1:6" x14ac:dyDescent="0.25">
      <c r="A109" t="s">
        <v>191</v>
      </c>
      <c r="E109">
        <v>0</v>
      </c>
      <c r="F109" t="s">
        <v>363</v>
      </c>
    </row>
    <row r="110" spans="1:6" x14ac:dyDescent="0.25">
      <c r="A110" t="s">
        <v>194</v>
      </c>
      <c r="E110">
        <v>0</v>
      </c>
      <c r="F110" t="s">
        <v>363</v>
      </c>
    </row>
    <row r="111" spans="1:6" x14ac:dyDescent="0.25">
      <c r="A111" t="s">
        <v>196</v>
      </c>
      <c r="E111">
        <v>0</v>
      </c>
      <c r="F111" t="s">
        <v>363</v>
      </c>
    </row>
    <row r="112" spans="1:6" x14ac:dyDescent="0.25">
      <c r="A112" t="s">
        <v>198</v>
      </c>
      <c r="E112">
        <v>0</v>
      </c>
      <c r="F112" t="s">
        <v>363</v>
      </c>
    </row>
    <row r="113" spans="1:6" x14ac:dyDescent="0.25">
      <c r="A113" t="s">
        <v>201</v>
      </c>
      <c r="E113">
        <v>0</v>
      </c>
      <c r="F113" t="s">
        <v>363</v>
      </c>
    </row>
    <row r="114" spans="1:6" x14ac:dyDescent="0.25">
      <c r="A114" t="s">
        <v>204</v>
      </c>
      <c r="E114">
        <v>0</v>
      </c>
      <c r="F114" t="s">
        <v>363</v>
      </c>
    </row>
    <row r="115" spans="1:6" x14ac:dyDescent="0.25">
      <c r="A115" t="s">
        <v>207</v>
      </c>
      <c r="E115">
        <v>0</v>
      </c>
      <c r="F115" t="s">
        <v>363</v>
      </c>
    </row>
    <row r="116" spans="1:6" x14ac:dyDescent="0.25">
      <c r="A116" t="s">
        <v>211</v>
      </c>
      <c r="E116">
        <v>0</v>
      </c>
      <c r="F116" t="s">
        <v>363</v>
      </c>
    </row>
    <row r="117" spans="1:6" x14ac:dyDescent="0.25">
      <c r="A117" t="s">
        <v>215</v>
      </c>
      <c r="E117">
        <v>0</v>
      </c>
      <c r="F117" t="s">
        <v>363</v>
      </c>
    </row>
    <row r="118" spans="1:6" x14ac:dyDescent="0.25">
      <c r="A118" t="s">
        <v>218</v>
      </c>
      <c r="E118">
        <v>0</v>
      </c>
      <c r="F118" t="s">
        <v>363</v>
      </c>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9417C-CB0F-432F-B7C6-663841E92EE1}">
  <dimension ref="A2:BQ83"/>
  <sheetViews>
    <sheetView tabSelected="1" zoomScale="66" workbookViewId="0">
      <pane xSplit="3" ySplit="10" topLeftCell="AE29" activePane="bottomRight" state="frozen"/>
      <selection pane="topRight" activeCell="C1" sqref="C1"/>
      <selection pane="bottomLeft" activeCell="A11" sqref="A11"/>
      <selection pane="bottomRight" activeCell="B70" sqref="B70"/>
    </sheetView>
  </sheetViews>
  <sheetFormatPr defaultRowHeight="15" x14ac:dyDescent="0.25"/>
  <cols>
    <col min="1" max="2" width="16.42578125" customWidth="1"/>
    <col min="5" max="5" width="19.42578125" bestFit="1" customWidth="1"/>
    <col min="10" max="10" width="8.7109375" customWidth="1"/>
    <col min="26" max="26" width="8.7109375" customWidth="1"/>
    <col min="34" max="34" width="8.7109375" customWidth="1"/>
    <col min="50" max="50" width="8.7109375" customWidth="1"/>
    <col min="54" max="54" width="10.28515625" customWidth="1"/>
    <col min="58" max="58" width="8.7109375" customWidth="1"/>
    <col min="66" max="66" width="11.5703125" bestFit="1" customWidth="1"/>
  </cols>
  <sheetData>
    <row r="2" spans="1:69" x14ac:dyDescent="0.25">
      <c r="A2" s="121" t="s">
        <v>281</v>
      </c>
      <c r="B2" s="121"/>
    </row>
    <row r="4" spans="1:69" x14ac:dyDescent="0.25">
      <c r="A4" s="121" t="s">
        <v>274</v>
      </c>
      <c r="B4" s="121"/>
    </row>
    <row r="5" spans="1:69" x14ac:dyDescent="0.25">
      <c r="A5" s="124" t="s">
        <v>275</v>
      </c>
      <c r="B5" s="124"/>
      <c r="C5" s="124"/>
      <c r="D5" s="124"/>
      <c r="E5" s="124"/>
    </row>
    <row r="6" spans="1:69" x14ac:dyDescent="0.25">
      <c r="A6" s="123" t="s">
        <v>276</v>
      </c>
      <c r="B6" s="123"/>
      <c r="C6" s="123"/>
      <c r="D6" s="123"/>
      <c r="E6" s="123"/>
    </row>
    <row r="7" spans="1:69" ht="15.75" thickBot="1" x14ac:dyDescent="0.3">
      <c r="A7" s="142" t="s">
        <v>278</v>
      </c>
      <c r="B7" s="142"/>
      <c r="C7" s="142"/>
      <c r="D7" s="142"/>
      <c r="E7" s="142"/>
    </row>
    <row r="8" spans="1:69" ht="45.75" thickBot="1" x14ac:dyDescent="0.3">
      <c r="A8" t="s">
        <v>6</v>
      </c>
      <c r="E8" s="151"/>
      <c r="F8" s="110" t="s">
        <v>267</v>
      </c>
      <c r="G8" s="111"/>
      <c r="H8" s="111"/>
      <c r="I8" s="111"/>
      <c r="J8" s="111"/>
      <c r="K8" s="111"/>
      <c r="L8" s="111"/>
      <c r="M8" s="111"/>
      <c r="N8" s="110" t="s">
        <v>260</v>
      </c>
      <c r="O8" s="111"/>
      <c r="P8" s="111"/>
      <c r="Q8" s="111"/>
      <c r="R8" s="111"/>
      <c r="S8" s="111"/>
      <c r="T8" s="111"/>
      <c r="U8" s="111"/>
      <c r="V8" s="110" t="s">
        <v>269</v>
      </c>
      <c r="W8" s="111"/>
      <c r="X8" s="111"/>
      <c r="Y8" s="111"/>
      <c r="Z8" s="111"/>
      <c r="AA8" s="111"/>
      <c r="AB8" s="111"/>
      <c r="AC8" s="111"/>
      <c r="AD8" s="110" t="s">
        <v>270</v>
      </c>
      <c r="AE8" s="111"/>
      <c r="AF8" s="111"/>
      <c r="AG8" s="111"/>
      <c r="AH8" s="111"/>
      <c r="AI8" s="111"/>
      <c r="AJ8" s="111"/>
      <c r="AK8" s="111"/>
      <c r="AL8" s="110" t="s">
        <v>271</v>
      </c>
      <c r="AM8" s="111"/>
      <c r="AN8" s="111"/>
      <c r="AO8" s="111"/>
      <c r="AP8" s="111"/>
      <c r="AQ8" s="111"/>
      <c r="AR8" s="111"/>
      <c r="AS8" s="111"/>
      <c r="AT8" s="110" t="s">
        <v>272</v>
      </c>
      <c r="AU8" s="111"/>
      <c r="AV8" s="111"/>
      <c r="AW8" s="111"/>
      <c r="AX8" s="111"/>
      <c r="AY8" s="111"/>
      <c r="AZ8" s="111"/>
      <c r="BA8" s="111"/>
      <c r="BB8" s="110" t="s">
        <v>277</v>
      </c>
      <c r="BC8" s="111"/>
      <c r="BD8" s="111"/>
      <c r="BE8" s="111"/>
      <c r="BF8" s="111" t="s">
        <v>266</v>
      </c>
      <c r="BG8" s="111"/>
      <c r="BH8" s="111"/>
      <c r="BI8" s="111"/>
      <c r="BJ8" s="110" t="s">
        <v>273</v>
      </c>
      <c r="BK8" s="111"/>
      <c r="BL8" s="111"/>
      <c r="BM8" s="111"/>
      <c r="BN8" s="111"/>
      <c r="BO8" s="111"/>
      <c r="BP8" s="111"/>
      <c r="BQ8" s="122"/>
    </row>
    <row r="9" spans="1:69" ht="30" x14ac:dyDescent="0.25">
      <c r="E9" s="151" t="s">
        <v>359</v>
      </c>
      <c r="F9" s="145" t="s">
        <v>282</v>
      </c>
      <c r="G9" s="146" t="s">
        <v>283</v>
      </c>
      <c r="H9" s="114" t="s">
        <v>268</v>
      </c>
      <c r="I9" s="115" t="s">
        <v>280</v>
      </c>
      <c r="J9" s="114" t="s">
        <v>279</v>
      </c>
      <c r="K9" s="116" t="s">
        <v>263</v>
      </c>
      <c r="L9" s="116" t="s">
        <v>264</v>
      </c>
      <c r="M9" s="117" t="s">
        <v>265</v>
      </c>
      <c r="N9" s="145" t="s">
        <v>282</v>
      </c>
      <c r="O9" s="146" t="s">
        <v>283</v>
      </c>
      <c r="P9" s="114" t="s">
        <v>261</v>
      </c>
      <c r="Q9" s="115" t="s">
        <v>280</v>
      </c>
      <c r="R9" s="114" t="s">
        <v>279</v>
      </c>
      <c r="S9" s="116" t="s">
        <v>263</v>
      </c>
      <c r="T9" s="116" t="s">
        <v>264</v>
      </c>
      <c r="U9" s="117" t="s">
        <v>265</v>
      </c>
      <c r="V9" s="145" t="s">
        <v>282</v>
      </c>
      <c r="W9" s="146" t="s">
        <v>283</v>
      </c>
      <c r="X9" s="114" t="s">
        <v>261</v>
      </c>
      <c r="Y9" s="115" t="s">
        <v>280</v>
      </c>
      <c r="Z9" s="114" t="s">
        <v>279</v>
      </c>
      <c r="AA9" s="116" t="s">
        <v>263</v>
      </c>
      <c r="AB9" s="116" t="s">
        <v>264</v>
      </c>
      <c r="AC9" s="117" t="s">
        <v>265</v>
      </c>
      <c r="AD9" s="145" t="s">
        <v>282</v>
      </c>
      <c r="AE9" s="146" t="s">
        <v>283</v>
      </c>
      <c r="AF9" s="114" t="s">
        <v>261</v>
      </c>
      <c r="AG9" s="115" t="s">
        <v>280</v>
      </c>
      <c r="AH9" s="114" t="s">
        <v>279</v>
      </c>
      <c r="AI9" s="116" t="s">
        <v>263</v>
      </c>
      <c r="AJ9" s="116" t="s">
        <v>264</v>
      </c>
      <c r="AK9" s="117" t="s">
        <v>265</v>
      </c>
      <c r="AL9" s="145" t="s">
        <v>282</v>
      </c>
      <c r="AM9" s="146" t="s">
        <v>283</v>
      </c>
      <c r="AN9" s="114" t="s">
        <v>261</v>
      </c>
      <c r="AO9" s="115" t="s">
        <v>280</v>
      </c>
      <c r="AP9" s="114" t="s">
        <v>279</v>
      </c>
      <c r="AQ9" s="116" t="s">
        <v>263</v>
      </c>
      <c r="AR9" s="116" t="s">
        <v>264</v>
      </c>
      <c r="AS9" s="117" t="s">
        <v>265</v>
      </c>
      <c r="AT9" s="145" t="s">
        <v>282</v>
      </c>
      <c r="AU9" s="146" t="s">
        <v>283</v>
      </c>
      <c r="AV9" s="114" t="s">
        <v>261</v>
      </c>
      <c r="AW9" s="115" t="s">
        <v>280</v>
      </c>
      <c r="AX9" s="114" t="s">
        <v>279</v>
      </c>
      <c r="AY9" s="116" t="s">
        <v>263</v>
      </c>
      <c r="AZ9" s="116" t="s">
        <v>264</v>
      </c>
      <c r="BA9" s="117" t="s">
        <v>265</v>
      </c>
      <c r="BB9" s="145" t="s">
        <v>282</v>
      </c>
      <c r="BC9" s="146" t="s">
        <v>283</v>
      </c>
      <c r="BD9" s="114" t="s">
        <v>261</v>
      </c>
      <c r="BE9" s="115" t="s">
        <v>280</v>
      </c>
      <c r="BF9" s="114" t="s">
        <v>279</v>
      </c>
      <c r="BG9" s="116" t="s">
        <v>263</v>
      </c>
      <c r="BH9" s="116" t="s">
        <v>264</v>
      </c>
      <c r="BI9" s="117" t="s">
        <v>265</v>
      </c>
      <c r="BJ9" s="145" t="s">
        <v>282</v>
      </c>
      <c r="BK9" s="146" t="s">
        <v>283</v>
      </c>
      <c r="BL9" s="114" t="s">
        <v>268</v>
      </c>
      <c r="BM9" s="115" t="s">
        <v>280</v>
      </c>
      <c r="BN9" s="114" t="s">
        <v>279</v>
      </c>
      <c r="BO9" s="116" t="s">
        <v>263</v>
      </c>
      <c r="BP9" s="116" t="s">
        <v>264</v>
      </c>
      <c r="BQ9" s="117" t="s">
        <v>265</v>
      </c>
    </row>
    <row r="10" spans="1:69" ht="15.75" thickBot="1" x14ac:dyDescent="0.3">
      <c r="C10" t="s">
        <v>262</v>
      </c>
      <c r="E10" s="153"/>
      <c r="F10" s="112">
        <v>7</v>
      </c>
      <c r="G10" s="113">
        <v>8</v>
      </c>
      <c r="H10" s="118" t="s">
        <v>56</v>
      </c>
      <c r="I10" s="119" t="s">
        <v>56</v>
      </c>
      <c r="J10" s="144"/>
      <c r="K10" s="113" t="s">
        <v>56</v>
      </c>
      <c r="L10" s="113" t="s">
        <v>56</v>
      </c>
      <c r="M10" s="120" t="s">
        <v>56</v>
      </c>
      <c r="N10" s="112">
        <v>9</v>
      </c>
      <c r="O10" s="113">
        <v>10</v>
      </c>
      <c r="P10" s="118" t="s">
        <v>56</v>
      </c>
      <c r="Q10" s="119" t="s">
        <v>56</v>
      </c>
      <c r="R10" s="113"/>
      <c r="S10" s="113" t="s">
        <v>56</v>
      </c>
      <c r="T10" s="113" t="s">
        <v>56</v>
      </c>
      <c r="U10" s="120" t="s">
        <v>56</v>
      </c>
      <c r="V10" s="112">
        <v>14</v>
      </c>
      <c r="W10" s="113"/>
      <c r="X10" s="118" t="s">
        <v>56</v>
      </c>
      <c r="Y10" s="119" t="s">
        <v>56</v>
      </c>
      <c r="Z10" s="144"/>
      <c r="AA10" s="113">
        <v>15</v>
      </c>
      <c r="AB10" s="113" t="s">
        <v>56</v>
      </c>
      <c r="AC10" s="120" t="s">
        <v>56</v>
      </c>
      <c r="AD10" s="112">
        <v>21</v>
      </c>
      <c r="AE10" s="113"/>
      <c r="AF10" s="118" t="s">
        <v>56</v>
      </c>
      <c r="AG10" s="119" t="s">
        <v>56</v>
      </c>
      <c r="AH10" s="144"/>
      <c r="AI10" s="113">
        <v>22</v>
      </c>
      <c r="AJ10" s="113" t="s">
        <v>56</v>
      </c>
      <c r="AK10" s="120" t="s">
        <v>56</v>
      </c>
      <c r="AL10" s="112">
        <v>23</v>
      </c>
      <c r="AM10" s="113"/>
      <c r="AN10" s="118" t="s">
        <v>56</v>
      </c>
      <c r="AO10" s="119" t="s">
        <v>56</v>
      </c>
      <c r="AP10" s="144"/>
      <c r="AQ10" s="113">
        <v>24</v>
      </c>
      <c r="AR10" s="113" t="s">
        <v>56</v>
      </c>
      <c r="AS10" s="120" t="s">
        <v>56</v>
      </c>
      <c r="AT10" s="112">
        <v>25</v>
      </c>
      <c r="AU10" s="113"/>
      <c r="AV10" s="118" t="s">
        <v>56</v>
      </c>
      <c r="AW10" s="119" t="s">
        <v>56</v>
      </c>
      <c r="AX10" s="144"/>
      <c r="AY10" s="113">
        <v>26</v>
      </c>
      <c r="AZ10" s="113" t="s">
        <v>56</v>
      </c>
      <c r="BA10" s="120" t="s">
        <v>56</v>
      </c>
      <c r="BB10" s="112">
        <v>17</v>
      </c>
      <c r="BC10" s="113"/>
      <c r="BD10" s="118" t="s">
        <v>56</v>
      </c>
      <c r="BE10" s="119" t="s">
        <v>56</v>
      </c>
      <c r="BF10" s="144"/>
      <c r="BG10" s="113" t="s">
        <v>320</v>
      </c>
      <c r="BH10" s="113" t="s">
        <v>56</v>
      </c>
      <c r="BI10" s="120" t="s">
        <v>56</v>
      </c>
      <c r="BJ10" s="112">
        <v>27</v>
      </c>
      <c r="BK10" s="113">
        <v>28</v>
      </c>
      <c r="BL10" s="118" t="s">
        <v>56</v>
      </c>
      <c r="BM10" s="119" t="s">
        <v>56</v>
      </c>
      <c r="BN10" s="144"/>
      <c r="BO10" s="113" t="s">
        <v>56</v>
      </c>
      <c r="BP10" s="113" t="s">
        <v>56</v>
      </c>
      <c r="BQ10" s="120" t="s">
        <v>56</v>
      </c>
    </row>
    <row r="11" spans="1:69" ht="45.75" thickBot="1" x14ac:dyDescent="0.3">
      <c r="A11" t="s">
        <v>349</v>
      </c>
      <c r="B11" t="s">
        <v>385</v>
      </c>
      <c r="C11" t="s">
        <v>350</v>
      </c>
      <c r="D11" t="s">
        <v>364</v>
      </c>
      <c r="E11" s="154" t="s">
        <v>358</v>
      </c>
      <c r="F11" s="145" t="s">
        <v>284</v>
      </c>
      <c r="G11" s="146" t="s">
        <v>285</v>
      </c>
      <c r="H11" s="114" t="s">
        <v>333</v>
      </c>
      <c r="I11" s="115" t="s">
        <v>341</v>
      </c>
      <c r="J11" s="114" t="s">
        <v>286</v>
      </c>
      <c r="K11" s="116" t="s">
        <v>287</v>
      </c>
      <c r="L11" s="116" t="s">
        <v>288</v>
      </c>
      <c r="M11" s="117" t="s">
        <v>289</v>
      </c>
      <c r="N11" s="145" t="s">
        <v>290</v>
      </c>
      <c r="O11" s="146" t="s">
        <v>291</v>
      </c>
      <c r="P11" s="114" t="s">
        <v>334</v>
      </c>
      <c r="Q11" s="115" t="s">
        <v>342</v>
      </c>
      <c r="R11" s="114" t="s">
        <v>292</v>
      </c>
      <c r="S11" s="116" t="s">
        <v>293</v>
      </c>
      <c r="T11" s="116" t="s">
        <v>294</v>
      </c>
      <c r="U11" s="117" t="s">
        <v>295</v>
      </c>
      <c r="V11" s="145" t="s">
        <v>296</v>
      </c>
      <c r="W11" s="146" t="s">
        <v>297</v>
      </c>
      <c r="X11" s="114" t="s">
        <v>335</v>
      </c>
      <c r="Y11" s="115" t="s">
        <v>343</v>
      </c>
      <c r="Z11" s="114" t="s">
        <v>298</v>
      </c>
      <c r="AA11" s="116" t="s">
        <v>299</v>
      </c>
      <c r="AB11" s="116" t="s">
        <v>300</v>
      </c>
      <c r="AC11" s="117" t="s">
        <v>301</v>
      </c>
      <c r="AD11" s="145" t="s">
        <v>302</v>
      </c>
      <c r="AE11" s="146" t="s">
        <v>303</v>
      </c>
      <c r="AF11" s="114" t="s">
        <v>336</v>
      </c>
      <c r="AG11" s="115" t="s">
        <v>344</v>
      </c>
      <c r="AH11" s="114" t="s">
        <v>304</v>
      </c>
      <c r="AI11" s="116" t="s">
        <v>305</v>
      </c>
      <c r="AJ11" s="116" t="s">
        <v>306</v>
      </c>
      <c r="AK11" s="117" t="s">
        <v>307</v>
      </c>
      <c r="AL11" s="145" t="s">
        <v>308</v>
      </c>
      <c r="AM11" s="146" t="s">
        <v>309</v>
      </c>
      <c r="AN11" s="114" t="s">
        <v>337</v>
      </c>
      <c r="AO11" s="115" t="s">
        <v>345</v>
      </c>
      <c r="AP11" s="114" t="s">
        <v>310</v>
      </c>
      <c r="AQ11" s="116" t="s">
        <v>311</v>
      </c>
      <c r="AR11" s="116" t="s">
        <v>312</v>
      </c>
      <c r="AS11" s="117" t="s">
        <v>313</v>
      </c>
      <c r="AT11" s="145" t="s">
        <v>314</v>
      </c>
      <c r="AU11" s="146" t="s">
        <v>315</v>
      </c>
      <c r="AV11" s="114" t="s">
        <v>338</v>
      </c>
      <c r="AW11" s="115" t="s">
        <v>346</v>
      </c>
      <c r="AX11" s="114" t="s">
        <v>316</v>
      </c>
      <c r="AY11" s="116" t="s">
        <v>317</v>
      </c>
      <c r="AZ11" s="116" t="s">
        <v>318</v>
      </c>
      <c r="BA11" s="117" t="s">
        <v>319</v>
      </c>
      <c r="BB11" s="145" t="s">
        <v>321</v>
      </c>
      <c r="BC11" s="146" t="s">
        <v>322</v>
      </c>
      <c r="BD11" s="114" t="s">
        <v>339</v>
      </c>
      <c r="BE11" s="115" t="s">
        <v>347</v>
      </c>
      <c r="BF11" s="114" t="s">
        <v>323</v>
      </c>
      <c r="BG11" s="116" t="s">
        <v>324</v>
      </c>
      <c r="BH11" s="116" t="s">
        <v>325</v>
      </c>
      <c r="BI11" s="117" t="s">
        <v>326</v>
      </c>
      <c r="BJ11" s="145" t="s">
        <v>327</v>
      </c>
      <c r="BK11" s="146" t="s">
        <v>328</v>
      </c>
      <c r="BL11" s="114" t="s">
        <v>340</v>
      </c>
      <c r="BM11" s="115" t="s">
        <v>348</v>
      </c>
      <c r="BN11" s="114" t="s">
        <v>329</v>
      </c>
      <c r="BO11" s="116" t="s">
        <v>330</v>
      </c>
      <c r="BP11" s="116" t="s">
        <v>331</v>
      </c>
      <c r="BQ11" s="117" t="s">
        <v>332</v>
      </c>
    </row>
    <row r="12" spans="1:69" x14ac:dyDescent="0.25">
      <c r="A12" t="s">
        <v>50</v>
      </c>
      <c r="B12" t="s">
        <v>377</v>
      </c>
      <c r="E12" s="152" t="str">
        <f>VLOOKUP(A12,Kleurtabel!$A$2:$F$822,6,FALSE)</f>
        <v>#80F2DD40</v>
      </c>
      <c r="F12" s="125">
        <f t="shared" ref="F12:G35" si="0">VLOOKUP($A12,TABEL,F$10,FALSE)</f>
        <v>18</v>
      </c>
      <c r="G12" s="124">
        <f t="shared" si="0"/>
        <v>19</v>
      </c>
      <c r="H12" s="130">
        <f>(LN(G12)+LN(F12))/2</f>
        <v>2.9174053685313024</v>
      </c>
      <c r="I12" s="131">
        <f>(LN(G12)-LN(F12))/(2*1.645)</f>
        <v>1.6433805857226671E-2</v>
      </c>
      <c r="J12" s="130">
        <f t="shared" ref="J12:J83" si="1">IF(F12="-","-",EXP(H12))</f>
        <v>18.493242008906925</v>
      </c>
      <c r="K12" s="133">
        <f t="shared" ref="K12:K49" si="2">EXP(H12+I12*I12/2)</f>
        <v>18.495739412224619</v>
      </c>
      <c r="L12" s="133">
        <f t="shared" ref="L12:L49" si="3">SQRT((EXP(I12*I12)-1)*EXP(2*H12+I12*I12))</f>
        <v>0.30397591414727615</v>
      </c>
      <c r="M12" s="134">
        <f>L12/K12</f>
        <v>1.6434915489043144E-2</v>
      </c>
      <c r="N12" s="125">
        <f t="shared" ref="N12:O35" si="4">VLOOKUP($A12,TABEL,N$10,FALSE)</f>
        <v>20</v>
      </c>
      <c r="O12" s="124">
        <f t="shared" si="4"/>
        <v>21</v>
      </c>
      <c r="P12" s="130">
        <f>(LN(O12)+LN(N12))/2</f>
        <v>3.0201273556387069</v>
      </c>
      <c r="Q12" s="131">
        <f>(LN(O12)-LN(N12))/(2*1.645)</f>
        <v>1.4829837133566006E-2</v>
      </c>
      <c r="R12" s="132">
        <f>EXP(P12)</f>
        <v>20.493901531919196</v>
      </c>
      <c r="S12" s="132">
        <f t="shared" ref="S12:S49" si="5">EXP(P12+Q12*Q12/2)</f>
        <v>20.496155206937743</v>
      </c>
      <c r="T12" s="133">
        <f t="shared" ref="T12:T49" si="6">SQRT((EXP(Q12*Q12)-1)*EXP(2*P12+Q12*Q12))</f>
        <v>0.30397135608439629</v>
      </c>
      <c r="U12" s="134">
        <f>T12/S12</f>
        <v>1.4830652530456298E-2</v>
      </c>
      <c r="V12" s="155">
        <f t="shared" ref="V12:V49" si="7">VLOOKUP($A12,TABEL,V$10,FALSE)/2+AA12/2</f>
        <v>33.200000000000003</v>
      </c>
      <c r="W12" s="140">
        <f>IF(V12="-","-",EXP(X12+1.645*Y12))</f>
        <v>34.812046266525151</v>
      </c>
      <c r="X12" s="130">
        <f t="shared" ref="X12:X49" si="8">IF(V12="-","-",LN(AA12)-Y12*Y12/2)</f>
        <v>3.5262566799441935</v>
      </c>
      <c r="Y12" s="131">
        <f t="shared" ref="Y12:Y49" si="9">IF(V12="-","-",(SQRT(1.645^2+2*LN(AA12/V12))-1.645))</f>
        <v>1.4411431016261522E-2</v>
      </c>
      <c r="Z12" s="130">
        <f t="shared" ref="Z12:Z49" si="10">IF(V12="-","-",EXP(X12))</f>
        <v>33.996469464469918</v>
      </c>
      <c r="AA12" s="128">
        <f t="shared" ref="AA12:AA49" si="11">VLOOKUP($A12,TABEL,AA$10,FALSE)</f>
        <v>34</v>
      </c>
      <c r="AB12" s="133">
        <f t="shared" ref="AB12:AB49" si="12">IF(V12="-","-",SQRT((EXP(Y12*Y12)-1)*EXP(2*X12+Y12*Y12)))</f>
        <v>0.49001409700939824</v>
      </c>
      <c r="AC12" s="134">
        <f t="shared" ref="AC12:AC49" si="13">IF(V12="-","-",AB12/AA12)</f>
        <v>1.441217932380583E-2</v>
      </c>
      <c r="AD12" s="125" t="str">
        <f t="shared" ref="AD12:AD49" si="14">VLOOKUP($A12,TABEL,AD$10,FALSE)</f>
        <v>-</v>
      </c>
      <c r="AE12" s="140" t="str">
        <f>IF(AD12="-","-",EXP(AF12+1.645*AG12))</f>
        <v>-</v>
      </c>
      <c r="AF12" s="130" t="str">
        <f t="shared" ref="AF12:AF49" si="15">IF(AD12="-","-",LN(AI12)-AG12*AG12/2)</f>
        <v>-</v>
      </c>
      <c r="AG12" s="131" t="str">
        <f t="shared" ref="AG12:AG49" si="16">IF(AD12="-","-",(SQRT(1.645^2+2*LN(AI12/AD12))-1.645))</f>
        <v>-</v>
      </c>
      <c r="AH12" s="130" t="str">
        <f t="shared" ref="AH12:AH49" si="17">IF(AD12="-","-",EXP(AF12))</f>
        <v>-</v>
      </c>
      <c r="AI12" s="128" t="str">
        <f t="shared" ref="AI12:AI49" si="18">VLOOKUP($A12,TABEL,AI$10,FALSE)</f>
        <v>-</v>
      </c>
      <c r="AJ12" s="133" t="str">
        <f t="shared" ref="AJ12:AJ49" si="19">IF(AD12="-","-",SQRT((EXP(AG12*AG12)-1)*EXP(2*AF12+AG12*AG12)))</f>
        <v>-</v>
      </c>
      <c r="AK12" s="134" t="str">
        <f t="shared" ref="AK12:AK49" si="20">IF(AD12="-","-",AJ12/AI12)</f>
        <v>-</v>
      </c>
      <c r="AL12" s="125" t="str">
        <f t="shared" ref="AL12:AL49" si="21">VLOOKUP($A12,TABEL,AL$10,FALSE)</f>
        <v>-</v>
      </c>
      <c r="AM12" s="140" t="str">
        <f>IF(AL12="-","-",EXP(AN12+1.645*AO12))</f>
        <v>-</v>
      </c>
      <c r="AN12" s="130" t="str">
        <f t="shared" ref="AN12:AN49" si="22">IF(AL12="-","-",LN(AQ12)-AO12*AO12/2)</f>
        <v>-</v>
      </c>
      <c r="AO12" s="131" t="str">
        <f t="shared" ref="AO12:AO49" si="23">IF(AL12="-","-",(SQRT(1.645^2+2*LN(AQ12/AL12))-1.645))</f>
        <v>-</v>
      </c>
      <c r="AP12" s="130" t="str">
        <f t="shared" ref="AP12:AP49" si="24">IF(AL12="-","-",EXP(AN12))</f>
        <v>-</v>
      </c>
      <c r="AQ12" s="128" t="str">
        <f t="shared" ref="AQ12:AQ49" si="25">VLOOKUP($A12,TABEL,AQ$10,FALSE)</f>
        <v>-</v>
      </c>
      <c r="AR12" s="133" t="str">
        <f t="shared" ref="AR12:AR49" si="26">IF(AL12="-","-",SQRT((EXP(AO12*AO12)-1)*EXP(2*AN12+AO12*AO12)))</f>
        <v>-</v>
      </c>
      <c r="AS12" s="134" t="str">
        <f t="shared" ref="AS12:AS49" si="27">IF(AL12="-","-",AR12/AQ12)</f>
        <v>-</v>
      </c>
      <c r="AT12" s="125" t="str">
        <f t="shared" ref="AT12:AT49" si="28">VLOOKUP($A12,TABEL,AT$10,FALSE)</f>
        <v>-</v>
      </c>
      <c r="AU12" s="140" t="str">
        <f>IF(AT12="-","-",EXP(AV12+1.645*AW12))</f>
        <v>-</v>
      </c>
      <c r="AV12" s="130" t="str">
        <f t="shared" ref="AV12:AV49" si="29">IF(AT12="-","-",LN(AY12)-AW12*AW12/2)</f>
        <v>-</v>
      </c>
      <c r="AW12" s="131" t="str">
        <f t="shared" ref="AW12:AW49" si="30">IF(AT12="-","-",(SQRT(1.645^2+2*LN(AY12/AT12))-1.645))</f>
        <v>-</v>
      </c>
      <c r="AX12" s="130" t="str">
        <f t="shared" ref="AX12:AX49" si="31">IF(AT12="-","-",EXP(AV12))</f>
        <v>-</v>
      </c>
      <c r="AY12" s="128" t="str">
        <f t="shared" ref="AY12:AY49" si="32">VLOOKUP($A12,TABEL,AY$10,FALSE)</f>
        <v>-</v>
      </c>
      <c r="AZ12" s="133" t="str">
        <f t="shared" ref="AZ12:AZ49" si="33">IF(AT12="-","-",SQRT((EXP(AW12*AW12)-1)*EXP(2*AV12+AW12*AW12)))</f>
        <v>-</v>
      </c>
      <c r="BA12" s="134" t="str">
        <f t="shared" ref="BA12:BA49" si="34">IF(AT12="-","-",AZ12/AY12)</f>
        <v>-</v>
      </c>
      <c r="BB12" s="125" t="str">
        <f t="shared" ref="BB12:BB83" si="35">VLOOKUP($A12,TABEL,BB$10,FALSE)</f>
        <v>-</v>
      </c>
      <c r="BC12" s="140" t="str">
        <f>IF(BB12="-","-",EXP(BD12+1.645*BE12))</f>
        <v>-</v>
      </c>
      <c r="BD12" s="130" t="str">
        <f t="shared" ref="BD12:BD83" si="36">IF(BB12="-","-",LN(BG12)-BE12*BE12/2)</f>
        <v>-</v>
      </c>
      <c r="BE12" s="131" t="str">
        <f t="shared" ref="BE12:BE83" si="37">IF(BB12="-","-",(SQRT(1.645^2+2*LN(BG12/BB12))-1.645))</f>
        <v>-</v>
      </c>
      <c r="BF12" s="130" t="str">
        <f t="shared" ref="BF12:BF83" si="38">IF(BB12="-","-",EXP(BD12))</f>
        <v>-</v>
      </c>
      <c r="BG12" s="143" t="str">
        <f>BB12</f>
        <v>-</v>
      </c>
      <c r="BH12" s="133" t="str">
        <f t="shared" ref="BH12:BH83" si="39">IF(BB12="-","-",SQRT((EXP(BE12*BE12)-1)*EXP(2*BD12+BE12*BE12)))</f>
        <v>-</v>
      </c>
      <c r="BI12" s="134" t="str">
        <f t="shared" ref="BI12:BI83" si="40">IF(BB12="-","-",BH12/BG12)</f>
        <v>-</v>
      </c>
      <c r="BJ12" s="125">
        <f t="shared" ref="BJ12:BK35" si="41">VLOOKUP($A12,TABEL,BJ$10,FALSE)</f>
        <v>103</v>
      </c>
      <c r="BK12" s="124">
        <f t="shared" si="41"/>
        <v>103</v>
      </c>
      <c r="BL12" s="130">
        <f>(LN(BK12)+LN(BJ12))/2</f>
        <v>4.6347289882296359</v>
      </c>
      <c r="BM12" s="131">
        <f>(LN(BK12)-LN(BJ12))/(2*1.645)</f>
        <v>0</v>
      </c>
      <c r="BN12" s="130">
        <f t="shared" ref="BN12:BN83" si="42">IF(BJ12="-","-",EXP(BL12))</f>
        <v>103.00000000000001</v>
      </c>
      <c r="BO12" s="133">
        <f t="shared" ref="BO12:BO83" si="43">EXP(BL12+BM12*BM12/2)</f>
        <v>103.00000000000001</v>
      </c>
      <c r="BP12" s="133">
        <f t="shared" ref="BP12:BP83" si="44">SQRT((EXP(BM12*BM12)-1)*EXP(2*BL12+BM12*BM12))</f>
        <v>0</v>
      </c>
      <c r="BQ12" s="134">
        <f>BP12/BO12</f>
        <v>0</v>
      </c>
    </row>
    <row r="13" spans="1:69" x14ac:dyDescent="0.25">
      <c r="A13" t="s">
        <v>59</v>
      </c>
      <c r="B13" t="s">
        <v>377</v>
      </c>
      <c r="E13" s="152" t="str">
        <f>VLOOKUP(A13,Kleurtabel!$A$2:$F$822,6,FALSE)</f>
        <v>#80C4FF75</v>
      </c>
      <c r="F13" s="125">
        <f t="shared" si="0"/>
        <v>18</v>
      </c>
      <c r="G13" s="124">
        <f t="shared" si="0"/>
        <v>19</v>
      </c>
      <c r="H13" s="130">
        <f t="shared" ref="H13:H83" si="45">(LN(G13)+LN(F13))/2</f>
        <v>2.9174053685313024</v>
      </c>
      <c r="I13" s="131">
        <f t="shared" ref="I13:I83" si="46">(LN(G13)-LN(F13))/(2*1.645)</f>
        <v>1.6433805857226671E-2</v>
      </c>
      <c r="J13" s="130">
        <f t="shared" si="1"/>
        <v>18.493242008906925</v>
      </c>
      <c r="K13" s="133">
        <f t="shared" si="2"/>
        <v>18.495739412224619</v>
      </c>
      <c r="L13" s="133">
        <f t="shared" si="3"/>
        <v>0.30397591414727615</v>
      </c>
      <c r="M13" s="134">
        <f t="shared" ref="M13:M83" si="47">L13/K13</f>
        <v>1.6434915489043144E-2</v>
      </c>
      <c r="N13" s="125">
        <f t="shared" si="4"/>
        <v>20</v>
      </c>
      <c r="O13" s="124">
        <f t="shared" si="4"/>
        <v>21</v>
      </c>
      <c r="P13" s="130">
        <f t="shared" ref="P13:P83" si="48">(LN(O13)+LN(N13))/2</f>
        <v>3.0201273556387069</v>
      </c>
      <c r="Q13" s="131">
        <f t="shared" ref="Q13:Q83" si="49">(LN(O13)-LN(N13))/(2*1.645)</f>
        <v>1.4829837133566006E-2</v>
      </c>
      <c r="R13" s="132">
        <f t="shared" ref="R13:R83" si="50">EXP(P13)</f>
        <v>20.493901531919196</v>
      </c>
      <c r="S13" s="132">
        <f t="shared" si="5"/>
        <v>20.496155206937743</v>
      </c>
      <c r="T13" s="133">
        <f t="shared" si="6"/>
        <v>0.30397135608439629</v>
      </c>
      <c r="U13" s="134">
        <f t="shared" ref="U13:U83" si="51">T13/S13</f>
        <v>1.4830652530456298E-2</v>
      </c>
      <c r="V13" s="155">
        <f t="shared" si="7"/>
        <v>30.95</v>
      </c>
      <c r="W13" s="140">
        <f t="shared" ref="W13:W83" si="52">IF(V13="-","-",EXP(X13+1.645*Y13))</f>
        <v>33.072180669348825</v>
      </c>
      <c r="X13" s="130">
        <f t="shared" si="8"/>
        <v>3.4655327324823864</v>
      </c>
      <c r="Y13" s="131">
        <f t="shared" si="9"/>
        <v>2.015789261506451E-2</v>
      </c>
      <c r="Z13" s="130">
        <f t="shared" si="10"/>
        <v>31.993499210251233</v>
      </c>
      <c r="AA13" s="128">
        <f t="shared" si="11"/>
        <v>32</v>
      </c>
      <c r="AB13" s="133">
        <f t="shared" si="12"/>
        <v>0.64511809699671463</v>
      </c>
      <c r="AC13" s="134">
        <f t="shared" si="13"/>
        <v>2.0159940531147332E-2</v>
      </c>
      <c r="AD13" s="125" t="str">
        <f t="shared" si="14"/>
        <v>-</v>
      </c>
      <c r="AE13" s="140" t="str">
        <f t="shared" ref="AE13:AE83" si="53">IF(AD13="-","-",EXP(AF13+1.645*AG13))</f>
        <v>-</v>
      </c>
      <c r="AF13" s="130" t="str">
        <f t="shared" si="15"/>
        <v>-</v>
      </c>
      <c r="AG13" s="131" t="str">
        <f t="shared" si="16"/>
        <v>-</v>
      </c>
      <c r="AH13" s="130" t="str">
        <f t="shared" si="17"/>
        <v>-</v>
      </c>
      <c r="AI13" s="128" t="str">
        <f t="shared" si="18"/>
        <v>-</v>
      </c>
      <c r="AJ13" s="133" t="str">
        <f t="shared" si="19"/>
        <v>-</v>
      </c>
      <c r="AK13" s="134" t="str">
        <f t="shared" si="20"/>
        <v>-</v>
      </c>
      <c r="AL13" s="125" t="str">
        <f t="shared" si="21"/>
        <v>-</v>
      </c>
      <c r="AM13" s="140" t="str">
        <f t="shared" ref="AM13:AM83" si="54">IF(AL13="-","-",EXP(AN13+1.645*AO13))</f>
        <v>-</v>
      </c>
      <c r="AN13" s="130" t="str">
        <f t="shared" si="22"/>
        <v>-</v>
      </c>
      <c r="AO13" s="131" t="str">
        <f t="shared" si="23"/>
        <v>-</v>
      </c>
      <c r="AP13" s="130" t="str">
        <f t="shared" si="24"/>
        <v>-</v>
      </c>
      <c r="AQ13" s="128" t="str">
        <f t="shared" si="25"/>
        <v>-</v>
      </c>
      <c r="AR13" s="133" t="str">
        <f t="shared" si="26"/>
        <v>-</v>
      </c>
      <c r="AS13" s="134" t="str">
        <f t="shared" si="27"/>
        <v>-</v>
      </c>
      <c r="AT13" s="125" t="str">
        <f t="shared" si="28"/>
        <v>-</v>
      </c>
      <c r="AU13" s="140" t="str">
        <f t="shared" ref="AU13:AU83" si="55">IF(AT13="-","-",EXP(AV13+1.645*AW13))</f>
        <v>-</v>
      </c>
      <c r="AV13" s="130" t="str">
        <f t="shared" si="29"/>
        <v>-</v>
      </c>
      <c r="AW13" s="131" t="str">
        <f t="shared" si="30"/>
        <v>-</v>
      </c>
      <c r="AX13" s="130" t="str">
        <f t="shared" si="31"/>
        <v>-</v>
      </c>
      <c r="AY13" s="128" t="str">
        <f t="shared" si="32"/>
        <v>-</v>
      </c>
      <c r="AZ13" s="133" t="str">
        <f t="shared" si="33"/>
        <v>-</v>
      </c>
      <c r="BA13" s="134" t="str">
        <f t="shared" si="34"/>
        <v>-</v>
      </c>
      <c r="BB13" s="125" t="str">
        <f t="shared" si="35"/>
        <v>-</v>
      </c>
      <c r="BC13" s="140" t="str">
        <f t="shared" ref="BC13:BC83" si="56">IF(BB13="-","-",EXP(BD13+1.645*BE13))</f>
        <v>-</v>
      </c>
      <c r="BD13" s="130" t="str">
        <f t="shared" si="36"/>
        <v>-</v>
      </c>
      <c r="BE13" s="131" t="str">
        <f t="shared" si="37"/>
        <v>-</v>
      </c>
      <c r="BF13" s="130" t="str">
        <f t="shared" si="38"/>
        <v>-</v>
      </c>
      <c r="BG13" s="143" t="str">
        <f t="shared" ref="BG13:BG83" si="57">BB13</f>
        <v>-</v>
      </c>
      <c r="BH13" s="133" t="str">
        <f t="shared" si="39"/>
        <v>-</v>
      </c>
      <c r="BI13" s="134" t="str">
        <f t="shared" si="40"/>
        <v>-</v>
      </c>
      <c r="BJ13" s="125">
        <f t="shared" si="41"/>
        <v>103</v>
      </c>
      <c r="BK13" s="124">
        <f t="shared" si="41"/>
        <v>103</v>
      </c>
      <c r="BL13" s="130">
        <f t="shared" ref="BL13:BL80" si="58">(LN(BK13)+LN(BJ13))/2</f>
        <v>4.6347289882296359</v>
      </c>
      <c r="BM13" s="131">
        <f t="shared" ref="BM13:BM80" si="59">(LN(BK13)-LN(BJ13))/(2*1.645)</f>
        <v>0</v>
      </c>
      <c r="BN13" s="130">
        <f t="shared" si="42"/>
        <v>103.00000000000001</v>
      </c>
      <c r="BO13" s="133">
        <f t="shared" si="43"/>
        <v>103.00000000000001</v>
      </c>
      <c r="BP13" s="133">
        <f t="shared" si="44"/>
        <v>0</v>
      </c>
      <c r="BQ13" s="134">
        <f t="shared" ref="BQ13:BQ83" si="60">BP13/BO13</f>
        <v>0</v>
      </c>
    </row>
    <row r="14" spans="1:69" x14ac:dyDescent="0.25">
      <c r="A14" t="s">
        <v>62</v>
      </c>
      <c r="B14" t="s">
        <v>377</v>
      </c>
      <c r="E14" s="152" t="str">
        <f>VLOOKUP(A14,Kleurtabel!$A$2:$F$822,6,FALSE)</f>
        <v>#80A3FF47</v>
      </c>
      <c r="F14" s="125">
        <f t="shared" si="0"/>
        <v>18</v>
      </c>
      <c r="G14" s="124">
        <f t="shared" si="0"/>
        <v>19</v>
      </c>
      <c r="H14" s="130">
        <f t="shared" si="45"/>
        <v>2.9174053685313024</v>
      </c>
      <c r="I14" s="131">
        <f t="shared" si="46"/>
        <v>1.6433805857226671E-2</v>
      </c>
      <c r="J14" s="130">
        <f t="shared" si="1"/>
        <v>18.493242008906925</v>
      </c>
      <c r="K14" s="133">
        <f t="shared" si="2"/>
        <v>18.495739412224619</v>
      </c>
      <c r="L14" s="133">
        <f t="shared" si="3"/>
        <v>0.30397591414727615</v>
      </c>
      <c r="M14" s="134">
        <f t="shared" si="47"/>
        <v>1.6434915489043144E-2</v>
      </c>
      <c r="N14" s="125">
        <f t="shared" si="4"/>
        <v>20</v>
      </c>
      <c r="O14" s="124">
        <f t="shared" si="4"/>
        <v>21</v>
      </c>
      <c r="P14" s="130">
        <f t="shared" si="48"/>
        <v>3.0201273556387069</v>
      </c>
      <c r="Q14" s="131">
        <f t="shared" si="49"/>
        <v>1.4829837133566006E-2</v>
      </c>
      <c r="R14" s="132">
        <f t="shared" si="50"/>
        <v>20.493901531919196</v>
      </c>
      <c r="S14" s="132">
        <f t="shared" si="5"/>
        <v>20.496155206937743</v>
      </c>
      <c r="T14" s="133">
        <f t="shared" si="6"/>
        <v>0.30397135608439629</v>
      </c>
      <c r="U14" s="134">
        <f t="shared" si="51"/>
        <v>1.4830652530456298E-2</v>
      </c>
      <c r="V14" s="155">
        <f t="shared" si="7"/>
        <v>30.95</v>
      </c>
      <c r="W14" s="140">
        <f t="shared" si="52"/>
        <v>33.072180669348825</v>
      </c>
      <c r="X14" s="130">
        <f t="shared" si="8"/>
        <v>3.4655327324823864</v>
      </c>
      <c r="Y14" s="131">
        <f t="shared" si="9"/>
        <v>2.015789261506451E-2</v>
      </c>
      <c r="Z14" s="130">
        <f t="shared" si="10"/>
        <v>31.993499210251233</v>
      </c>
      <c r="AA14" s="128">
        <f t="shared" si="11"/>
        <v>32</v>
      </c>
      <c r="AB14" s="133">
        <f t="shared" si="12"/>
        <v>0.64511809699671463</v>
      </c>
      <c r="AC14" s="134">
        <f t="shared" si="13"/>
        <v>2.0159940531147332E-2</v>
      </c>
      <c r="AD14" s="125" t="str">
        <f t="shared" si="14"/>
        <v>-</v>
      </c>
      <c r="AE14" s="140" t="str">
        <f t="shared" si="53"/>
        <v>-</v>
      </c>
      <c r="AF14" s="130" t="str">
        <f t="shared" si="15"/>
        <v>-</v>
      </c>
      <c r="AG14" s="131" t="str">
        <f t="shared" si="16"/>
        <v>-</v>
      </c>
      <c r="AH14" s="130" t="str">
        <f t="shared" si="17"/>
        <v>-</v>
      </c>
      <c r="AI14" s="128" t="str">
        <f t="shared" si="18"/>
        <v>-</v>
      </c>
      <c r="AJ14" s="133" t="str">
        <f t="shared" si="19"/>
        <v>-</v>
      </c>
      <c r="AK14" s="134" t="str">
        <f t="shared" si="20"/>
        <v>-</v>
      </c>
      <c r="AL14" s="125" t="str">
        <f t="shared" si="21"/>
        <v>-</v>
      </c>
      <c r="AM14" s="140" t="str">
        <f t="shared" si="54"/>
        <v>-</v>
      </c>
      <c r="AN14" s="130" t="str">
        <f t="shared" si="22"/>
        <v>-</v>
      </c>
      <c r="AO14" s="131" t="str">
        <f t="shared" si="23"/>
        <v>-</v>
      </c>
      <c r="AP14" s="130" t="str">
        <f t="shared" si="24"/>
        <v>-</v>
      </c>
      <c r="AQ14" s="128" t="str">
        <f t="shared" si="25"/>
        <v>-</v>
      </c>
      <c r="AR14" s="133" t="str">
        <f t="shared" si="26"/>
        <v>-</v>
      </c>
      <c r="AS14" s="134" t="str">
        <f t="shared" si="27"/>
        <v>-</v>
      </c>
      <c r="AT14" s="125" t="str">
        <f t="shared" si="28"/>
        <v>-</v>
      </c>
      <c r="AU14" s="140" t="str">
        <f t="shared" si="55"/>
        <v>-</v>
      </c>
      <c r="AV14" s="130" t="str">
        <f t="shared" si="29"/>
        <v>-</v>
      </c>
      <c r="AW14" s="131" t="str">
        <f t="shared" si="30"/>
        <v>-</v>
      </c>
      <c r="AX14" s="130" t="str">
        <f t="shared" si="31"/>
        <v>-</v>
      </c>
      <c r="AY14" s="128" t="str">
        <f t="shared" si="32"/>
        <v>-</v>
      </c>
      <c r="AZ14" s="133" t="str">
        <f t="shared" si="33"/>
        <v>-</v>
      </c>
      <c r="BA14" s="134" t="str">
        <f t="shared" si="34"/>
        <v>-</v>
      </c>
      <c r="BB14" s="125" t="str">
        <f t="shared" si="35"/>
        <v>-</v>
      </c>
      <c r="BC14" s="140" t="str">
        <f t="shared" si="56"/>
        <v>-</v>
      </c>
      <c r="BD14" s="130" t="str">
        <f t="shared" si="36"/>
        <v>-</v>
      </c>
      <c r="BE14" s="131" t="str">
        <f t="shared" si="37"/>
        <v>-</v>
      </c>
      <c r="BF14" s="130" t="str">
        <f t="shared" si="38"/>
        <v>-</v>
      </c>
      <c r="BG14" s="143" t="str">
        <f t="shared" si="57"/>
        <v>-</v>
      </c>
      <c r="BH14" s="133" t="str">
        <f t="shared" si="39"/>
        <v>-</v>
      </c>
      <c r="BI14" s="134" t="str">
        <f t="shared" si="40"/>
        <v>-</v>
      </c>
      <c r="BJ14" s="125">
        <f t="shared" si="41"/>
        <v>103</v>
      </c>
      <c r="BK14" s="124">
        <f t="shared" si="41"/>
        <v>103</v>
      </c>
      <c r="BL14" s="130">
        <f t="shared" si="58"/>
        <v>4.6347289882296359</v>
      </c>
      <c r="BM14" s="131">
        <f t="shared" si="59"/>
        <v>0</v>
      </c>
      <c r="BN14" s="130">
        <f t="shared" si="42"/>
        <v>103.00000000000001</v>
      </c>
      <c r="BO14" s="133">
        <f t="shared" si="43"/>
        <v>103.00000000000001</v>
      </c>
      <c r="BP14" s="133">
        <f t="shared" si="44"/>
        <v>0</v>
      </c>
      <c r="BQ14" s="134">
        <f t="shared" si="60"/>
        <v>0</v>
      </c>
    </row>
    <row r="15" spans="1:69" x14ac:dyDescent="0.25">
      <c r="A15" t="s">
        <v>64</v>
      </c>
      <c r="B15" t="s">
        <v>377</v>
      </c>
      <c r="E15" s="152" t="str">
        <f>VLOOKUP(A15,Kleurtabel!$A$2:$F$822,6,FALSE)</f>
        <v>#8033CCCC</v>
      </c>
      <c r="F15" s="125">
        <f t="shared" si="0"/>
        <v>17</v>
      </c>
      <c r="G15" s="124">
        <f t="shared" si="0"/>
        <v>18</v>
      </c>
      <c r="H15" s="130">
        <f t="shared" si="45"/>
        <v>2.8617925509761903</v>
      </c>
      <c r="I15" s="131">
        <f t="shared" si="46"/>
        <v>1.7373378066853601E-2</v>
      </c>
      <c r="J15" s="130">
        <f t="shared" si="1"/>
        <v>17.4928556845359</v>
      </c>
      <c r="K15" s="133">
        <f t="shared" si="2"/>
        <v>17.495495855377509</v>
      </c>
      <c r="L15" s="133">
        <f t="shared" si="3"/>
        <v>0.30397880147861883</v>
      </c>
      <c r="M15" s="134">
        <f t="shared" si="47"/>
        <v>1.7374689119496221E-2</v>
      </c>
      <c r="N15" s="125">
        <f t="shared" si="4"/>
        <v>19</v>
      </c>
      <c r="O15" s="124">
        <f t="shared" si="4"/>
        <v>20</v>
      </c>
      <c r="P15" s="130">
        <f t="shared" si="48"/>
        <v>2.9700856263602153</v>
      </c>
      <c r="Q15" s="131">
        <f t="shared" si="49"/>
        <v>1.5590666987097445E-2</v>
      </c>
      <c r="R15" s="132">
        <f t="shared" si="50"/>
        <v>19.493588689617919</v>
      </c>
      <c r="S15" s="132">
        <f t="shared" si="5"/>
        <v>19.495957976141646</v>
      </c>
      <c r="T15" s="133">
        <f t="shared" si="6"/>
        <v>0.30397345983682589</v>
      </c>
      <c r="U15" s="134">
        <f t="shared" si="51"/>
        <v>1.5591614436634309E-2</v>
      </c>
      <c r="V15" s="155">
        <f t="shared" si="7"/>
        <v>30.95</v>
      </c>
      <c r="W15" s="140">
        <f t="shared" si="52"/>
        <v>33.072180669348825</v>
      </c>
      <c r="X15" s="130">
        <f t="shared" si="8"/>
        <v>3.4655327324823864</v>
      </c>
      <c r="Y15" s="131">
        <f t="shared" si="9"/>
        <v>2.015789261506451E-2</v>
      </c>
      <c r="Z15" s="130">
        <f t="shared" si="10"/>
        <v>31.993499210251233</v>
      </c>
      <c r="AA15" s="128">
        <f t="shared" si="11"/>
        <v>32</v>
      </c>
      <c r="AB15" s="133">
        <f t="shared" si="12"/>
        <v>0.64511809699671463</v>
      </c>
      <c r="AC15" s="134">
        <f t="shared" si="13"/>
        <v>2.0159940531147332E-2</v>
      </c>
      <c r="AD15" s="125" t="str">
        <f t="shared" si="14"/>
        <v>-</v>
      </c>
      <c r="AE15" s="140" t="str">
        <f t="shared" si="53"/>
        <v>-</v>
      </c>
      <c r="AF15" s="130" t="str">
        <f t="shared" si="15"/>
        <v>-</v>
      </c>
      <c r="AG15" s="131" t="str">
        <f t="shared" si="16"/>
        <v>-</v>
      </c>
      <c r="AH15" s="130" t="str">
        <f t="shared" si="17"/>
        <v>-</v>
      </c>
      <c r="AI15" s="128" t="str">
        <f t="shared" si="18"/>
        <v>-</v>
      </c>
      <c r="AJ15" s="133" t="str">
        <f t="shared" si="19"/>
        <v>-</v>
      </c>
      <c r="AK15" s="134" t="str">
        <f t="shared" si="20"/>
        <v>-</v>
      </c>
      <c r="AL15" s="125" t="str">
        <f t="shared" si="21"/>
        <v>-</v>
      </c>
      <c r="AM15" s="140" t="str">
        <f t="shared" si="54"/>
        <v>-</v>
      </c>
      <c r="AN15" s="130" t="str">
        <f t="shared" si="22"/>
        <v>-</v>
      </c>
      <c r="AO15" s="131" t="str">
        <f t="shared" si="23"/>
        <v>-</v>
      </c>
      <c r="AP15" s="130" t="str">
        <f t="shared" si="24"/>
        <v>-</v>
      </c>
      <c r="AQ15" s="128" t="str">
        <f t="shared" si="25"/>
        <v>-</v>
      </c>
      <c r="AR15" s="133" t="str">
        <f t="shared" si="26"/>
        <v>-</v>
      </c>
      <c r="AS15" s="134" t="str">
        <f t="shared" si="27"/>
        <v>-</v>
      </c>
      <c r="AT15" s="125" t="str">
        <f t="shared" si="28"/>
        <v>-</v>
      </c>
      <c r="AU15" s="140" t="str">
        <f t="shared" si="55"/>
        <v>-</v>
      </c>
      <c r="AV15" s="130" t="str">
        <f t="shared" si="29"/>
        <v>-</v>
      </c>
      <c r="AW15" s="131" t="str">
        <f t="shared" si="30"/>
        <v>-</v>
      </c>
      <c r="AX15" s="130" t="str">
        <f t="shared" si="31"/>
        <v>-</v>
      </c>
      <c r="AY15" s="128" t="str">
        <f t="shared" si="32"/>
        <v>-</v>
      </c>
      <c r="AZ15" s="133" t="str">
        <f t="shared" si="33"/>
        <v>-</v>
      </c>
      <c r="BA15" s="134" t="str">
        <f t="shared" si="34"/>
        <v>-</v>
      </c>
      <c r="BB15" s="125" t="str">
        <f t="shared" si="35"/>
        <v>-</v>
      </c>
      <c r="BC15" s="140" t="str">
        <f t="shared" si="56"/>
        <v>-</v>
      </c>
      <c r="BD15" s="130" t="str">
        <f t="shared" si="36"/>
        <v>-</v>
      </c>
      <c r="BE15" s="131" t="str">
        <f t="shared" si="37"/>
        <v>-</v>
      </c>
      <c r="BF15" s="130" t="str">
        <f t="shared" si="38"/>
        <v>-</v>
      </c>
      <c r="BG15" s="143" t="str">
        <f t="shared" si="57"/>
        <v>-</v>
      </c>
      <c r="BH15" s="133" t="str">
        <f t="shared" si="39"/>
        <v>-</v>
      </c>
      <c r="BI15" s="134" t="str">
        <f t="shared" si="40"/>
        <v>-</v>
      </c>
      <c r="BJ15" s="125">
        <f t="shared" si="41"/>
        <v>103</v>
      </c>
      <c r="BK15" s="124">
        <f t="shared" si="41"/>
        <v>103</v>
      </c>
      <c r="BL15" s="130">
        <f t="shared" si="58"/>
        <v>4.6347289882296359</v>
      </c>
      <c r="BM15" s="131">
        <f t="shared" si="59"/>
        <v>0</v>
      </c>
      <c r="BN15" s="130">
        <f t="shared" si="42"/>
        <v>103.00000000000001</v>
      </c>
      <c r="BO15" s="133">
        <f t="shared" si="43"/>
        <v>103.00000000000001</v>
      </c>
      <c r="BP15" s="133">
        <f t="shared" si="44"/>
        <v>0</v>
      </c>
      <c r="BQ15" s="134">
        <f t="shared" si="60"/>
        <v>0</v>
      </c>
    </row>
    <row r="16" spans="1:69" x14ac:dyDescent="0.25">
      <c r="A16" t="s">
        <v>67</v>
      </c>
      <c r="B16" t="s">
        <v>378</v>
      </c>
      <c r="E16" s="152" t="str">
        <f>VLOOKUP(A16,Kleurtabel!$A$2:$F$822,6,FALSE)</f>
        <v>#80008080</v>
      </c>
      <c r="F16" s="125">
        <f t="shared" si="0"/>
        <v>18</v>
      </c>
      <c r="G16" s="124">
        <f t="shared" si="0"/>
        <v>19</v>
      </c>
      <c r="H16" s="130">
        <f t="shared" si="45"/>
        <v>2.9174053685313024</v>
      </c>
      <c r="I16" s="131">
        <f t="shared" si="46"/>
        <v>1.6433805857226671E-2</v>
      </c>
      <c r="J16" s="130">
        <f t="shared" si="1"/>
        <v>18.493242008906925</v>
      </c>
      <c r="K16" s="133">
        <f t="shared" si="2"/>
        <v>18.495739412224619</v>
      </c>
      <c r="L16" s="133">
        <f t="shared" si="3"/>
        <v>0.30397591414727615</v>
      </c>
      <c r="M16" s="134">
        <f t="shared" si="47"/>
        <v>1.6434915489043144E-2</v>
      </c>
      <c r="N16" s="125">
        <f t="shared" si="4"/>
        <v>20</v>
      </c>
      <c r="O16" s="124">
        <f t="shared" si="4"/>
        <v>21</v>
      </c>
      <c r="P16" s="130">
        <f t="shared" si="48"/>
        <v>3.0201273556387069</v>
      </c>
      <c r="Q16" s="131">
        <f t="shared" si="49"/>
        <v>1.4829837133566006E-2</v>
      </c>
      <c r="R16" s="132">
        <f t="shared" si="50"/>
        <v>20.493901531919196</v>
      </c>
      <c r="S16" s="132">
        <f t="shared" si="5"/>
        <v>20.496155206937743</v>
      </c>
      <c r="T16" s="133">
        <f t="shared" si="6"/>
        <v>0.30397135608439629</v>
      </c>
      <c r="U16" s="134">
        <f t="shared" si="51"/>
        <v>1.4830652530456298E-2</v>
      </c>
      <c r="V16" s="155">
        <f t="shared" si="7"/>
        <v>30.95</v>
      </c>
      <c r="W16" s="140">
        <f t="shared" si="52"/>
        <v>33.072180669348825</v>
      </c>
      <c r="X16" s="130">
        <f t="shared" si="8"/>
        <v>3.4655327324823864</v>
      </c>
      <c r="Y16" s="131">
        <f t="shared" si="9"/>
        <v>2.015789261506451E-2</v>
      </c>
      <c r="Z16" s="130">
        <f t="shared" si="10"/>
        <v>31.993499210251233</v>
      </c>
      <c r="AA16" s="128">
        <f t="shared" si="11"/>
        <v>32</v>
      </c>
      <c r="AB16" s="133">
        <f t="shared" si="12"/>
        <v>0.64511809699671463</v>
      </c>
      <c r="AC16" s="134">
        <f t="shared" si="13"/>
        <v>2.0159940531147332E-2</v>
      </c>
      <c r="AD16" s="125" t="str">
        <f t="shared" si="14"/>
        <v>-</v>
      </c>
      <c r="AE16" s="140" t="str">
        <f t="shared" si="53"/>
        <v>-</v>
      </c>
      <c r="AF16" s="130" t="str">
        <f t="shared" si="15"/>
        <v>-</v>
      </c>
      <c r="AG16" s="131" t="str">
        <f t="shared" si="16"/>
        <v>-</v>
      </c>
      <c r="AH16" s="130" t="str">
        <f t="shared" si="17"/>
        <v>-</v>
      </c>
      <c r="AI16" s="128" t="str">
        <f t="shared" si="18"/>
        <v>-</v>
      </c>
      <c r="AJ16" s="133" t="str">
        <f t="shared" si="19"/>
        <v>-</v>
      </c>
      <c r="AK16" s="134" t="str">
        <f t="shared" si="20"/>
        <v>-</v>
      </c>
      <c r="AL16" s="125" t="str">
        <f t="shared" si="21"/>
        <v>-</v>
      </c>
      <c r="AM16" s="140" t="str">
        <f t="shared" si="54"/>
        <v>-</v>
      </c>
      <c r="AN16" s="130" t="str">
        <f t="shared" si="22"/>
        <v>-</v>
      </c>
      <c r="AO16" s="131" t="str">
        <f t="shared" si="23"/>
        <v>-</v>
      </c>
      <c r="AP16" s="130" t="str">
        <f t="shared" si="24"/>
        <v>-</v>
      </c>
      <c r="AQ16" s="128" t="str">
        <f t="shared" si="25"/>
        <v>-</v>
      </c>
      <c r="AR16" s="133" t="str">
        <f t="shared" si="26"/>
        <v>-</v>
      </c>
      <c r="AS16" s="134" t="str">
        <f t="shared" si="27"/>
        <v>-</v>
      </c>
      <c r="AT16" s="125" t="str">
        <f t="shared" si="28"/>
        <v>-</v>
      </c>
      <c r="AU16" s="140" t="str">
        <f t="shared" si="55"/>
        <v>-</v>
      </c>
      <c r="AV16" s="130" t="str">
        <f t="shared" si="29"/>
        <v>-</v>
      </c>
      <c r="AW16" s="131" t="str">
        <f t="shared" si="30"/>
        <v>-</v>
      </c>
      <c r="AX16" s="130" t="str">
        <f t="shared" si="31"/>
        <v>-</v>
      </c>
      <c r="AY16" s="128" t="str">
        <f t="shared" si="32"/>
        <v>-</v>
      </c>
      <c r="AZ16" s="133" t="str">
        <f t="shared" si="33"/>
        <v>-</v>
      </c>
      <c r="BA16" s="134" t="str">
        <f t="shared" si="34"/>
        <v>-</v>
      </c>
      <c r="BB16" s="125" t="str">
        <f t="shared" si="35"/>
        <v>-</v>
      </c>
      <c r="BC16" s="140" t="str">
        <f t="shared" si="56"/>
        <v>-</v>
      </c>
      <c r="BD16" s="130" t="str">
        <f t="shared" si="36"/>
        <v>-</v>
      </c>
      <c r="BE16" s="131" t="str">
        <f t="shared" si="37"/>
        <v>-</v>
      </c>
      <c r="BF16" s="130" t="str">
        <f t="shared" si="38"/>
        <v>-</v>
      </c>
      <c r="BG16" s="143" t="str">
        <f t="shared" si="57"/>
        <v>-</v>
      </c>
      <c r="BH16" s="133" t="str">
        <f t="shared" si="39"/>
        <v>-</v>
      </c>
      <c r="BI16" s="134" t="str">
        <f t="shared" si="40"/>
        <v>-</v>
      </c>
      <c r="BJ16" s="125">
        <f t="shared" si="41"/>
        <v>103</v>
      </c>
      <c r="BK16" s="124">
        <f t="shared" si="41"/>
        <v>103</v>
      </c>
      <c r="BL16" s="130">
        <f t="shared" si="58"/>
        <v>4.6347289882296359</v>
      </c>
      <c r="BM16" s="131">
        <f t="shared" si="59"/>
        <v>0</v>
      </c>
      <c r="BN16" s="130">
        <f t="shared" si="42"/>
        <v>103.00000000000001</v>
      </c>
      <c r="BO16" s="133">
        <f t="shared" si="43"/>
        <v>103.00000000000001</v>
      </c>
      <c r="BP16" s="133">
        <f t="shared" si="44"/>
        <v>0</v>
      </c>
      <c r="BQ16" s="134">
        <f t="shared" si="60"/>
        <v>0</v>
      </c>
    </row>
    <row r="17" spans="1:69" x14ac:dyDescent="0.25">
      <c r="A17" t="s">
        <v>69</v>
      </c>
      <c r="B17" t="s">
        <v>378</v>
      </c>
      <c r="E17" s="152" t="str">
        <f>VLOOKUP(A17,Kleurtabel!$A$2:$F$822,6,FALSE)</f>
        <v>#80008080</v>
      </c>
      <c r="F17" s="125">
        <f t="shared" si="0"/>
        <v>15</v>
      </c>
      <c r="G17" s="124">
        <f t="shared" si="0"/>
        <v>18</v>
      </c>
      <c r="H17" s="130">
        <f t="shared" si="45"/>
        <v>2.7992109794991871</v>
      </c>
      <c r="I17" s="131">
        <f t="shared" si="46"/>
        <v>5.5416886563511993E-2</v>
      </c>
      <c r="J17" s="130">
        <f t="shared" si="1"/>
        <v>16.431676725154979</v>
      </c>
      <c r="K17" s="133">
        <f t="shared" si="2"/>
        <v>16.456927203347885</v>
      </c>
      <c r="L17" s="133">
        <f t="shared" si="3"/>
        <v>0.9126923049410256</v>
      </c>
      <c r="M17" s="134">
        <f t="shared" si="47"/>
        <v>5.545946054591247E-2</v>
      </c>
      <c r="N17" s="125">
        <f t="shared" si="4"/>
        <v>15</v>
      </c>
      <c r="O17" s="124">
        <f t="shared" si="4"/>
        <v>18</v>
      </c>
      <c r="P17" s="130">
        <f t="shared" si="48"/>
        <v>2.7992109794991871</v>
      </c>
      <c r="Q17" s="131">
        <f t="shared" si="49"/>
        <v>5.5416886563511993E-2</v>
      </c>
      <c r="R17" s="132">
        <f t="shared" si="50"/>
        <v>16.431676725154979</v>
      </c>
      <c r="S17" s="132">
        <f t="shared" si="5"/>
        <v>16.456927203347885</v>
      </c>
      <c r="T17" s="133">
        <f t="shared" si="6"/>
        <v>0.9126923049410256</v>
      </c>
      <c r="U17" s="134">
        <f t="shared" si="51"/>
        <v>5.545946054591247E-2</v>
      </c>
      <c r="V17" s="155">
        <f t="shared" si="7"/>
        <v>30.95</v>
      </c>
      <c r="W17" s="140">
        <f t="shared" si="52"/>
        <v>33.072180669348825</v>
      </c>
      <c r="X17" s="130">
        <f t="shared" si="8"/>
        <v>3.4655327324823864</v>
      </c>
      <c r="Y17" s="131">
        <f t="shared" si="9"/>
        <v>2.015789261506451E-2</v>
      </c>
      <c r="Z17" s="130">
        <f t="shared" si="10"/>
        <v>31.993499210251233</v>
      </c>
      <c r="AA17" s="128">
        <f t="shared" si="11"/>
        <v>32</v>
      </c>
      <c r="AB17" s="133">
        <f t="shared" si="12"/>
        <v>0.64511809699671463</v>
      </c>
      <c r="AC17" s="134">
        <f t="shared" si="13"/>
        <v>2.0159940531147332E-2</v>
      </c>
      <c r="AD17" s="125">
        <f>VLOOKUP($A17,TABEL,AD$10,FALSE)</f>
        <v>0.25900000000000001</v>
      </c>
      <c r="AE17" s="140">
        <f t="shared" si="53"/>
        <v>0.26502181438571959</v>
      </c>
      <c r="AF17" s="130">
        <f t="shared" si="15"/>
        <v>-1.3394351776149065</v>
      </c>
      <c r="AG17" s="131">
        <f t="shared" si="16"/>
        <v>6.9860423511809433E-3</v>
      </c>
      <c r="AH17" s="130">
        <f t="shared" si="17"/>
        <v>0.26199360665081384</v>
      </c>
      <c r="AI17" s="128">
        <f t="shared" si="18"/>
        <v>0.26200000000000001</v>
      </c>
      <c r="AJ17" s="133">
        <f t="shared" si="19"/>
        <v>1.8303654286145486E-3</v>
      </c>
      <c r="AK17" s="134">
        <f t="shared" si="20"/>
        <v>6.9861275901318643E-3</v>
      </c>
      <c r="AL17" s="125">
        <f t="shared" si="21"/>
        <v>0.89200000000000002</v>
      </c>
      <c r="AM17" s="140">
        <f t="shared" si="54"/>
        <v>0.90804508506493276</v>
      </c>
      <c r="AN17" s="130">
        <f t="shared" si="22"/>
        <v>-0.10537519743021823</v>
      </c>
      <c r="AO17" s="131">
        <f t="shared" si="23"/>
        <v>5.4188139646866862E-3</v>
      </c>
      <c r="AP17" s="130">
        <f t="shared" si="24"/>
        <v>0.89998678650184627</v>
      </c>
      <c r="AQ17" s="128">
        <f t="shared" si="25"/>
        <v>0.9</v>
      </c>
      <c r="AR17" s="133">
        <f t="shared" si="26"/>
        <v>4.8769683694481559E-3</v>
      </c>
      <c r="AS17" s="134">
        <f t="shared" si="27"/>
        <v>5.4188537438312843E-3</v>
      </c>
      <c r="AT17" s="125">
        <f t="shared" si="28"/>
        <v>28.42</v>
      </c>
      <c r="AU17" s="140">
        <f t="shared" si="55"/>
        <v>75.763974700376622</v>
      </c>
      <c r="AV17" s="130">
        <f t="shared" si="29"/>
        <v>3.8373580172683415</v>
      </c>
      <c r="AW17" s="131">
        <f t="shared" si="30"/>
        <v>0.29803337057713475</v>
      </c>
      <c r="AX17" s="130">
        <f t="shared" si="31"/>
        <v>46.402717172431885</v>
      </c>
      <c r="AY17" s="128">
        <f t="shared" si="32"/>
        <v>48.51</v>
      </c>
      <c r="AZ17" s="133">
        <f t="shared" si="33"/>
        <v>14.784664711090059</v>
      </c>
      <c r="BA17" s="134">
        <f t="shared" si="34"/>
        <v>0.30477560731993525</v>
      </c>
      <c r="BB17" s="125">
        <f t="shared" si="35"/>
        <v>8</v>
      </c>
      <c r="BC17" s="140">
        <f t="shared" si="56"/>
        <v>7.9999999999999982</v>
      </c>
      <c r="BD17" s="130">
        <f t="shared" si="36"/>
        <v>2.0794415416798357</v>
      </c>
      <c r="BE17" s="131">
        <f t="shared" si="37"/>
        <v>0</v>
      </c>
      <c r="BF17" s="130">
        <f t="shared" si="38"/>
        <v>7.9999999999999982</v>
      </c>
      <c r="BG17" s="143">
        <f t="shared" si="57"/>
        <v>8</v>
      </c>
      <c r="BH17" s="133">
        <f t="shared" si="39"/>
        <v>0</v>
      </c>
      <c r="BI17" s="134">
        <f t="shared" si="40"/>
        <v>0</v>
      </c>
      <c r="BJ17" s="125">
        <f t="shared" si="41"/>
        <v>60</v>
      </c>
      <c r="BK17" s="124">
        <f t="shared" si="41"/>
        <v>100</v>
      </c>
      <c r="BL17" s="130">
        <f t="shared" si="58"/>
        <v>4.3497573741050957</v>
      </c>
      <c r="BM17" s="131">
        <f t="shared" si="59"/>
        <v>0.15526614704133476</v>
      </c>
      <c r="BN17" s="130">
        <f t="shared" si="42"/>
        <v>77.459666924148308</v>
      </c>
      <c r="BO17" s="133">
        <f t="shared" si="43"/>
        <v>78.398999227036953</v>
      </c>
      <c r="BP17" s="133">
        <f t="shared" si="44"/>
        <v>12.24644397761314</v>
      </c>
      <c r="BQ17" s="134">
        <f t="shared" si="60"/>
        <v>0.15620663654326072</v>
      </c>
    </row>
    <row r="18" spans="1:69" x14ac:dyDescent="0.25">
      <c r="A18" t="s">
        <v>74</v>
      </c>
      <c r="B18" t="s">
        <v>378</v>
      </c>
      <c r="E18" s="152" t="str">
        <f>VLOOKUP(A18,Kleurtabel!$A$2:$F$822,6,FALSE)</f>
        <v>#8099CC00</v>
      </c>
      <c r="F18" s="125">
        <f t="shared" si="0"/>
        <v>15</v>
      </c>
      <c r="G18" s="124">
        <f t="shared" si="0"/>
        <v>18</v>
      </c>
      <c r="H18" s="130">
        <f t="shared" ref="H18" si="61">(LN(G18)+LN(F18))/2</f>
        <v>2.7992109794991871</v>
      </c>
      <c r="I18" s="131">
        <f t="shared" ref="I18" si="62">(LN(G18)-LN(F18))/(2*1.645)</f>
        <v>5.5416886563511993E-2</v>
      </c>
      <c r="J18" s="130">
        <f t="shared" ref="J18" si="63">IF(F18="-","-",EXP(H18))</f>
        <v>16.431676725154979</v>
      </c>
      <c r="K18" s="133">
        <f t="shared" ref="K18" si="64">EXP(H18+I18*I18/2)</f>
        <v>16.456927203347885</v>
      </c>
      <c r="L18" s="133">
        <f t="shared" ref="L18" si="65">SQRT((EXP(I18*I18)-1)*EXP(2*H18+I18*I18))</f>
        <v>0.9126923049410256</v>
      </c>
      <c r="M18" s="134">
        <f t="shared" ref="M18" si="66">L18/K18</f>
        <v>5.545946054591247E-2</v>
      </c>
      <c r="N18" s="125">
        <f t="shared" si="4"/>
        <v>15</v>
      </c>
      <c r="O18" s="124">
        <f t="shared" si="4"/>
        <v>18</v>
      </c>
      <c r="P18" s="130">
        <f t="shared" ref="P18" si="67">(LN(O18)+LN(N18))/2</f>
        <v>2.7992109794991871</v>
      </c>
      <c r="Q18" s="131">
        <f t="shared" ref="Q18" si="68">(LN(O18)-LN(N18))/(2*1.645)</f>
        <v>5.5416886563511993E-2</v>
      </c>
      <c r="R18" s="132">
        <f t="shared" ref="R18" si="69">EXP(P18)</f>
        <v>16.431676725154979</v>
      </c>
      <c r="S18" s="132">
        <f t="shared" ref="S18" si="70">EXP(P18+Q18*Q18/2)</f>
        <v>16.456927203347885</v>
      </c>
      <c r="T18" s="133">
        <f t="shared" ref="T18" si="71">SQRT((EXP(Q18*Q18)-1)*EXP(2*P18+Q18*Q18))</f>
        <v>0.9126923049410256</v>
      </c>
      <c r="U18" s="134">
        <f t="shared" ref="U18" si="72">T18/S18</f>
        <v>5.545946054591247E-2</v>
      </c>
      <c r="V18" s="155">
        <f t="shared" ref="V18" si="73">VLOOKUP($A18,TABEL,V$10,FALSE)/2+AA18/2</f>
        <v>30.95</v>
      </c>
      <c r="W18" s="140">
        <f t="shared" ref="W18" si="74">IF(V18="-","-",EXP(X18+1.645*Y18))</f>
        <v>33.072180669348825</v>
      </c>
      <c r="X18" s="130">
        <f t="shared" ref="X18" si="75">IF(V18="-","-",LN(AA18)-Y18*Y18/2)</f>
        <v>3.4655327324823864</v>
      </c>
      <c r="Y18" s="131">
        <f t="shared" ref="Y18" si="76">IF(V18="-","-",(SQRT(1.645^2+2*LN(AA18/V18))-1.645))</f>
        <v>2.015789261506451E-2</v>
      </c>
      <c r="Z18" s="130">
        <f t="shared" ref="Z18" si="77">IF(V18="-","-",EXP(X18))</f>
        <v>31.993499210251233</v>
      </c>
      <c r="AA18" s="128">
        <f t="shared" si="11"/>
        <v>32</v>
      </c>
      <c r="AB18" s="133">
        <f t="shared" ref="AB18" si="78">IF(V18="-","-",SQRT((EXP(Y18*Y18)-1)*EXP(2*X18+Y18*Y18)))</f>
        <v>0.64511809699671463</v>
      </c>
      <c r="AC18" s="134">
        <f t="shared" ref="AC18" si="79">IF(V18="-","-",AB18/AA18)</f>
        <v>2.0159940531147332E-2</v>
      </c>
      <c r="AD18" s="125">
        <f t="shared" si="14"/>
        <v>0.25900000000000001</v>
      </c>
      <c r="AE18" s="140">
        <f t="shared" ref="AE18" si="80">IF(AD18="-","-",EXP(AF18+1.645*AG18))</f>
        <v>0.26502181438571959</v>
      </c>
      <c r="AF18" s="130">
        <f t="shared" ref="AF18" si="81">IF(AD18="-","-",LN(AI18)-AG18*AG18/2)</f>
        <v>-1.3394351776149065</v>
      </c>
      <c r="AG18" s="131">
        <f t="shared" ref="AG18" si="82">IF(AD18="-","-",(SQRT(1.645^2+2*LN(AI18/AD18))-1.645))</f>
        <v>6.9860423511809433E-3</v>
      </c>
      <c r="AH18" s="130">
        <f t="shared" ref="AH18" si="83">IF(AD18="-","-",EXP(AF18))</f>
        <v>0.26199360665081384</v>
      </c>
      <c r="AI18" s="147">
        <f t="shared" si="18"/>
        <v>0.26200000000000001</v>
      </c>
      <c r="AJ18" s="133">
        <f t="shared" ref="AJ18" si="84">IF(AD18="-","-",SQRT((EXP(AG18*AG18)-1)*EXP(2*AF18+AG18*AG18)))</f>
        <v>1.8303654286145486E-3</v>
      </c>
      <c r="AK18" s="134">
        <f t="shared" ref="AK18" si="85">IF(AD18="-","-",AJ18/AI18)</f>
        <v>6.9861275901318643E-3</v>
      </c>
      <c r="AL18" s="125">
        <f t="shared" si="21"/>
        <v>0.89200000000000002</v>
      </c>
      <c r="AM18" s="140">
        <f t="shared" ref="AM18" si="86">IF(AL18="-","-",EXP(AN18+1.645*AO18))</f>
        <v>0.90804508506493276</v>
      </c>
      <c r="AN18" s="130">
        <f t="shared" ref="AN18" si="87">IF(AL18="-","-",LN(AQ18)-AO18*AO18/2)</f>
        <v>-0.10537519743021823</v>
      </c>
      <c r="AO18" s="131">
        <f t="shared" ref="AO18" si="88">IF(AL18="-","-",(SQRT(1.645^2+2*LN(AQ18/AL18))-1.645))</f>
        <v>5.4188139646866862E-3</v>
      </c>
      <c r="AP18" s="130">
        <f t="shared" ref="AP18" si="89">IF(AL18="-","-",EXP(AN18))</f>
        <v>0.89998678650184627</v>
      </c>
      <c r="AQ18" s="128">
        <f t="shared" si="25"/>
        <v>0.9</v>
      </c>
      <c r="AR18" s="133">
        <f t="shared" ref="AR18" si="90">IF(AL18="-","-",SQRT((EXP(AO18*AO18)-1)*EXP(2*AN18+AO18*AO18)))</f>
        <v>4.8769683694481559E-3</v>
      </c>
      <c r="AS18" s="134">
        <f t="shared" ref="AS18" si="91">IF(AL18="-","-",AR18/AQ18)</f>
        <v>5.4188537438312843E-3</v>
      </c>
      <c r="AT18" s="125">
        <f t="shared" si="28"/>
        <v>28.42</v>
      </c>
      <c r="AU18" s="140">
        <f t="shared" ref="AU18" si="92">IF(AT18="-","-",EXP(AV18+1.645*AW18))</f>
        <v>75.763974700376622</v>
      </c>
      <c r="AV18" s="130">
        <f t="shared" ref="AV18" si="93">IF(AT18="-","-",LN(AY18)-AW18*AW18/2)</f>
        <v>3.8373580172683415</v>
      </c>
      <c r="AW18" s="131">
        <f t="shared" ref="AW18" si="94">IF(AT18="-","-",(SQRT(1.645^2+2*LN(AY18/AT18))-1.645))</f>
        <v>0.29803337057713475</v>
      </c>
      <c r="AX18" s="130">
        <f t="shared" ref="AX18" si="95">IF(AT18="-","-",EXP(AV18))</f>
        <v>46.402717172431885</v>
      </c>
      <c r="AY18" s="128">
        <f t="shared" si="32"/>
        <v>48.51</v>
      </c>
      <c r="AZ18" s="133">
        <f t="shared" ref="AZ18" si="96">IF(AT18="-","-",SQRT((EXP(AW18*AW18)-1)*EXP(2*AV18+AW18*AW18)))</f>
        <v>14.784664711090059</v>
      </c>
      <c r="BA18" s="134">
        <f t="shared" ref="BA18" si="97">IF(AT18="-","-",AZ18/AY18)</f>
        <v>0.30477560731993525</v>
      </c>
      <c r="BB18" s="125">
        <f t="shared" si="35"/>
        <v>8</v>
      </c>
      <c r="BC18" s="140">
        <f t="shared" ref="BC18" si="98">IF(BB18="-","-",EXP(BD18+1.645*BE18))</f>
        <v>7.9999999999999982</v>
      </c>
      <c r="BD18" s="130">
        <f t="shared" ref="BD18" si="99">IF(BB18="-","-",LN(BG18)-BE18*BE18/2)</f>
        <v>2.0794415416798357</v>
      </c>
      <c r="BE18" s="131">
        <f t="shared" ref="BE18" si="100">IF(BB18="-","-",(SQRT(1.645^2+2*LN(BG18/BB18))-1.645))</f>
        <v>0</v>
      </c>
      <c r="BF18" s="130">
        <f t="shared" ref="BF18" si="101">IF(BB18="-","-",EXP(BD18))</f>
        <v>7.9999999999999982</v>
      </c>
      <c r="BG18" s="143">
        <f t="shared" ref="BG18" si="102">BB18</f>
        <v>8</v>
      </c>
      <c r="BH18" s="133">
        <f t="shared" ref="BH18" si="103">IF(BB18="-","-",SQRT((EXP(BE18*BE18)-1)*EXP(2*BD18+BE18*BE18)))</f>
        <v>0</v>
      </c>
      <c r="BI18" s="134">
        <f t="shared" ref="BI18" si="104">IF(BB18="-","-",BH18/BG18)</f>
        <v>0</v>
      </c>
      <c r="BJ18" s="125">
        <f t="shared" si="41"/>
        <v>60</v>
      </c>
      <c r="BK18" s="124">
        <f t="shared" si="41"/>
        <v>100</v>
      </c>
      <c r="BL18" s="130">
        <f t="shared" ref="BL18" si="105">(LN(BK18)+LN(BJ18))/2</f>
        <v>4.3497573741050957</v>
      </c>
      <c r="BM18" s="131">
        <f t="shared" ref="BM18" si="106">(LN(BK18)-LN(BJ18))/(2*1.645)</f>
        <v>0.15526614704133476</v>
      </c>
      <c r="BN18" s="130">
        <f t="shared" ref="BN18" si="107">IF(BJ18="-","-",EXP(BL18))</f>
        <v>77.459666924148308</v>
      </c>
      <c r="BO18" s="133">
        <f t="shared" ref="BO18" si="108">EXP(BL18+BM18*BM18/2)</f>
        <v>78.398999227036953</v>
      </c>
      <c r="BP18" s="133">
        <f t="shared" ref="BP18" si="109">SQRT((EXP(BM18*BM18)-1)*EXP(2*BL18+BM18*BM18))</f>
        <v>12.24644397761314</v>
      </c>
      <c r="BQ18" s="134">
        <f t="shared" ref="BQ18" si="110">BP18/BO18</f>
        <v>0.15620663654326072</v>
      </c>
    </row>
    <row r="19" spans="1:69" x14ac:dyDescent="0.25">
      <c r="A19" t="s">
        <v>388</v>
      </c>
      <c r="B19" t="s">
        <v>378</v>
      </c>
      <c r="E19" s="152" t="e">
        <f>VLOOKUP(A19,Kleurtabel!$A$2:$F$822,6,FALSE)</f>
        <v>#N/A</v>
      </c>
      <c r="F19" s="125">
        <f>F18</f>
        <v>15</v>
      </c>
      <c r="G19" s="125">
        <f t="shared" ref="G19:BQ19" si="111">G18</f>
        <v>18</v>
      </c>
      <c r="H19" s="125">
        <f t="shared" si="111"/>
        <v>2.7992109794991871</v>
      </c>
      <c r="I19" s="125">
        <f t="shared" si="111"/>
        <v>5.5416886563511993E-2</v>
      </c>
      <c r="J19" s="125">
        <f t="shared" si="111"/>
        <v>16.431676725154979</v>
      </c>
      <c r="K19" s="125">
        <f t="shared" si="111"/>
        <v>16.456927203347885</v>
      </c>
      <c r="L19" s="125">
        <f t="shared" si="111"/>
        <v>0.9126923049410256</v>
      </c>
      <c r="M19" s="125">
        <f t="shared" si="111"/>
        <v>5.545946054591247E-2</v>
      </c>
      <c r="N19" s="125">
        <f t="shared" si="111"/>
        <v>15</v>
      </c>
      <c r="O19" s="125">
        <f t="shared" si="111"/>
        <v>18</v>
      </c>
      <c r="P19" s="125">
        <f t="shared" si="111"/>
        <v>2.7992109794991871</v>
      </c>
      <c r="Q19" s="125">
        <f t="shared" si="111"/>
        <v>5.5416886563511993E-2</v>
      </c>
      <c r="R19" s="125">
        <f t="shared" si="111"/>
        <v>16.431676725154979</v>
      </c>
      <c r="S19" s="125">
        <f t="shared" si="111"/>
        <v>16.456927203347885</v>
      </c>
      <c r="T19" s="125">
        <f t="shared" si="111"/>
        <v>0.9126923049410256</v>
      </c>
      <c r="U19" s="125">
        <f t="shared" si="111"/>
        <v>5.545946054591247E-2</v>
      </c>
      <c r="V19" s="125">
        <f t="shared" si="111"/>
        <v>30.95</v>
      </c>
      <c r="W19" s="125">
        <f t="shared" si="111"/>
        <v>33.072180669348825</v>
      </c>
      <c r="X19" s="125">
        <f t="shared" si="111"/>
        <v>3.4655327324823864</v>
      </c>
      <c r="Y19" s="125">
        <f t="shared" si="111"/>
        <v>2.015789261506451E-2</v>
      </c>
      <c r="Z19" s="125">
        <f t="shared" si="111"/>
        <v>31.993499210251233</v>
      </c>
      <c r="AA19" s="125">
        <f t="shared" si="111"/>
        <v>32</v>
      </c>
      <c r="AB19" s="125">
        <f t="shared" si="111"/>
        <v>0.64511809699671463</v>
      </c>
      <c r="AC19" s="125">
        <f t="shared" si="111"/>
        <v>2.0159940531147332E-2</v>
      </c>
      <c r="AD19" s="125">
        <f t="shared" si="111"/>
        <v>0.25900000000000001</v>
      </c>
      <c r="AE19" s="125">
        <f t="shared" si="111"/>
        <v>0.26502181438571959</v>
      </c>
      <c r="AF19" s="125">
        <f t="shared" si="111"/>
        <v>-1.3394351776149065</v>
      </c>
      <c r="AG19" s="125">
        <f t="shared" si="111"/>
        <v>6.9860423511809433E-3</v>
      </c>
      <c r="AH19" s="125">
        <f t="shared" si="111"/>
        <v>0.26199360665081384</v>
      </c>
      <c r="AI19" s="125">
        <f t="shared" si="111"/>
        <v>0.26200000000000001</v>
      </c>
      <c r="AJ19" s="125">
        <f t="shared" si="111"/>
        <v>1.8303654286145486E-3</v>
      </c>
      <c r="AK19" s="125">
        <f t="shared" si="111"/>
        <v>6.9861275901318643E-3</v>
      </c>
      <c r="AL19" s="125">
        <f t="shared" si="111"/>
        <v>0.89200000000000002</v>
      </c>
      <c r="AM19" s="125">
        <f t="shared" si="111"/>
        <v>0.90804508506493276</v>
      </c>
      <c r="AN19" s="125">
        <f t="shared" si="111"/>
        <v>-0.10537519743021823</v>
      </c>
      <c r="AO19" s="125">
        <f t="shared" si="111"/>
        <v>5.4188139646866862E-3</v>
      </c>
      <c r="AP19" s="125">
        <f t="shared" si="111"/>
        <v>0.89998678650184627</v>
      </c>
      <c r="AQ19" s="125">
        <f t="shared" si="111"/>
        <v>0.9</v>
      </c>
      <c r="AR19" s="125">
        <f t="shared" si="111"/>
        <v>4.8769683694481559E-3</v>
      </c>
      <c r="AS19" s="125">
        <f t="shared" si="111"/>
        <v>5.4188537438312843E-3</v>
      </c>
      <c r="AT19" s="125">
        <f t="shared" si="111"/>
        <v>28.42</v>
      </c>
      <c r="AU19" s="125">
        <f t="shared" si="111"/>
        <v>75.763974700376622</v>
      </c>
      <c r="AV19" s="125">
        <f t="shared" si="111"/>
        <v>3.8373580172683415</v>
      </c>
      <c r="AW19" s="125">
        <f t="shared" si="111"/>
        <v>0.29803337057713475</v>
      </c>
      <c r="AX19" s="125">
        <f t="shared" si="111"/>
        <v>46.402717172431885</v>
      </c>
      <c r="AY19" s="125">
        <f t="shared" si="111"/>
        <v>48.51</v>
      </c>
      <c r="AZ19" s="125">
        <f t="shared" si="111"/>
        <v>14.784664711090059</v>
      </c>
      <c r="BA19" s="125">
        <f t="shared" si="111"/>
        <v>0.30477560731993525</v>
      </c>
      <c r="BB19" s="125">
        <f t="shared" si="111"/>
        <v>8</v>
      </c>
      <c r="BC19" s="125">
        <f t="shared" si="111"/>
        <v>7.9999999999999982</v>
      </c>
      <c r="BD19" s="125">
        <f t="shared" si="111"/>
        <v>2.0794415416798357</v>
      </c>
      <c r="BE19" s="125">
        <f t="shared" si="111"/>
        <v>0</v>
      </c>
      <c r="BF19" s="125">
        <f t="shared" si="111"/>
        <v>7.9999999999999982</v>
      </c>
      <c r="BG19" s="125">
        <f t="shared" si="111"/>
        <v>8</v>
      </c>
      <c r="BH19" s="125">
        <f t="shared" si="111"/>
        <v>0</v>
      </c>
      <c r="BI19" s="125">
        <f t="shared" si="111"/>
        <v>0</v>
      </c>
      <c r="BJ19" s="125">
        <f t="shared" si="111"/>
        <v>60</v>
      </c>
      <c r="BK19" s="125">
        <f t="shared" si="111"/>
        <v>100</v>
      </c>
      <c r="BL19" s="125">
        <f t="shared" si="111"/>
        <v>4.3497573741050957</v>
      </c>
      <c r="BM19" s="125">
        <f t="shared" si="111"/>
        <v>0.15526614704133476</v>
      </c>
      <c r="BN19" s="125">
        <f t="shared" si="111"/>
        <v>77.459666924148308</v>
      </c>
      <c r="BO19" s="125">
        <f t="shared" si="111"/>
        <v>78.398999227036953</v>
      </c>
      <c r="BP19" s="125">
        <f t="shared" si="111"/>
        <v>12.24644397761314</v>
      </c>
      <c r="BQ19" s="125">
        <f t="shared" si="111"/>
        <v>0.15620663654326072</v>
      </c>
    </row>
    <row r="20" spans="1:69" x14ac:dyDescent="0.25">
      <c r="A20" s="158" t="s">
        <v>76</v>
      </c>
      <c r="B20" t="s">
        <v>379</v>
      </c>
      <c r="E20" s="152" t="str">
        <f>VLOOKUP(A20,Kleurtabel!$A$2:$F$822,6,FALSE)</f>
        <v>#80008080</v>
      </c>
      <c r="F20" s="125">
        <f t="shared" si="0"/>
        <v>15</v>
      </c>
      <c r="G20" s="124">
        <f t="shared" si="0"/>
        <v>18</v>
      </c>
      <c r="H20" s="130">
        <f t="shared" si="45"/>
        <v>2.7992109794991871</v>
      </c>
      <c r="I20" s="131">
        <f t="shared" si="46"/>
        <v>5.5416886563511993E-2</v>
      </c>
      <c r="J20" s="130">
        <f t="shared" si="1"/>
        <v>16.431676725154979</v>
      </c>
      <c r="K20" s="133">
        <f t="shared" si="2"/>
        <v>16.456927203347885</v>
      </c>
      <c r="L20" s="133">
        <f t="shared" si="3"/>
        <v>0.9126923049410256</v>
      </c>
      <c r="M20" s="134">
        <f t="shared" si="47"/>
        <v>5.545946054591247E-2</v>
      </c>
      <c r="N20" s="125">
        <f t="shared" si="4"/>
        <v>15</v>
      </c>
      <c r="O20" s="124">
        <f t="shared" si="4"/>
        <v>18</v>
      </c>
      <c r="P20" s="130">
        <f t="shared" si="48"/>
        <v>2.7992109794991871</v>
      </c>
      <c r="Q20" s="131">
        <f t="shared" si="49"/>
        <v>5.5416886563511993E-2</v>
      </c>
      <c r="R20" s="132">
        <f t="shared" si="50"/>
        <v>16.431676725154979</v>
      </c>
      <c r="S20" s="132">
        <f t="shared" si="5"/>
        <v>16.456927203347885</v>
      </c>
      <c r="T20" s="133">
        <f t="shared" si="6"/>
        <v>0.9126923049410256</v>
      </c>
      <c r="U20" s="134">
        <f t="shared" si="51"/>
        <v>5.545946054591247E-2</v>
      </c>
      <c r="V20" s="155">
        <f t="shared" si="7"/>
        <v>38</v>
      </c>
      <c r="W20" s="140">
        <f t="shared" si="52"/>
        <v>46.255590667338396</v>
      </c>
      <c r="X20" s="130">
        <f t="shared" si="8"/>
        <v>3.7358842478366552</v>
      </c>
      <c r="Y20" s="131">
        <f t="shared" si="9"/>
        <v>5.975567666277759E-2</v>
      </c>
      <c r="Z20" s="130">
        <f t="shared" si="10"/>
        <v>41.925081339919423</v>
      </c>
      <c r="AA20" s="128">
        <f t="shared" si="11"/>
        <v>42</v>
      </c>
      <c r="AB20" s="133">
        <f t="shared" si="12"/>
        <v>2.5119804937796721</v>
      </c>
      <c r="AC20" s="134">
        <f t="shared" si="13"/>
        <v>5.9809059375706478E-2</v>
      </c>
      <c r="AD20" s="125">
        <f t="shared" si="14"/>
        <v>0.28100000000000003</v>
      </c>
      <c r="AE20" s="140">
        <f t="shared" si="53"/>
        <v>0.29917961173681679</v>
      </c>
      <c r="AF20" s="130">
        <f t="shared" si="15"/>
        <v>-1.2380558937214354</v>
      </c>
      <c r="AG20" s="131">
        <f t="shared" si="16"/>
        <v>1.9054538557419898E-2</v>
      </c>
      <c r="AH20" s="130">
        <f t="shared" si="17"/>
        <v>0.28994735883957545</v>
      </c>
      <c r="AI20" s="147">
        <f t="shared" si="18"/>
        <v>0.28999999999999998</v>
      </c>
      <c r="AJ20" s="132">
        <f t="shared" si="19"/>
        <v>5.52631779162778E-3</v>
      </c>
      <c r="AK20" s="134">
        <f t="shared" si="20"/>
        <v>1.9056268246992348E-2</v>
      </c>
      <c r="AL20" s="125">
        <f t="shared" si="21"/>
        <v>0.89200000000000002</v>
      </c>
      <c r="AM20" s="140">
        <f t="shared" si="54"/>
        <v>0.90804508506493276</v>
      </c>
      <c r="AN20" s="130">
        <f t="shared" si="22"/>
        <v>-0.10537519743021823</v>
      </c>
      <c r="AO20" s="131">
        <f t="shared" si="23"/>
        <v>5.4188139646866862E-3</v>
      </c>
      <c r="AP20" s="130">
        <f t="shared" si="24"/>
        <v>0.89998678650184627</v>
      </c>
      <c r="AQ20" s="128">
        <f t="shared" si="25"/>
        <v>0.9</v>
      </c>
      <c r="AR20" s="133">
        <f t="shared" si="26"/>
        <v>4.8769683694481559E-3</v>
      </c>
      <c r="AS20" s="134">
        <f t="shared" si="27"/>
        <v>5.4188537438312843E-3</v>
      </c>
      <c r="AT20" s="125">
        <f t="shared" si="28"/>
        <v>11.57</v>
      </c>
      <c r="AU20" s="140">
        <f t="shared" si="55"/>
        <v>36.715039080961702</v>
      </c>
      <c r="AV20" s="130">
        <f t="shared" si="29"/>
        <v>3.0258009982749376</v>
      </c>
      <c r="AW20" s="131">
        <f t="shared" si="30"/>
        <v>0.35099419882635408</v>
      </c>
      <c r="AX20" s="130">
        <f t="shared" si="31"/>
        <v>20.610507081746601</v>
      </c>
      <c r="AY20" s="128">
        <f t="shared" si="32"/>
        <v>21.92</v>
      </c>
      <c r="AZ20" s="133">
        <f t="shared" si="33"/>
        <v>7.9369515704755926</v>
      </c>
      <c r="BA20" s="134">
        <f t="shared" si="34"/>
        <v>0.36208720668228067</v>
      </c>
      <c r="BB20" s="125">
        <f t="shared" si="35"/>
        <v>8</v>
      </c>
      <c r="BC20" s="140">
        <f t="shared" si="56"/>
        <v>7.9999999999999982</v>
      </c>
      <c r="BD20" s="130">
        <f t="shared" si="36"/>
        <v>2.0794415416798357</v>
      </c>
      <c r="BE20" s="131">
        <f t="shared" si="37"/>
        <v>0</v>
      </c>
      <c r="BF20" s="130">
        <f t="shared" si="38"/>
        <v>7.9999999999999982</v>
      </c>
      <c r="BG20" s="143">
        <f t="shared" si="57"/>
        <v>8</v>
      </c>
      <c r="BH20" s="133">
        <f t="shared" si="39"/>
        <v>0</v>
      </c>
      <c r="BI20" s="134">
        <f t="shared" si="40"/>
        <v>0</v>
      </c>
      <c r="BJ20" s="125">
        <f t="shared" si="41"/>
        <v>60</v>
      </c>
      <c r="BK20" s="124">
        <f t="shared" si="41"/>
        <v>100</v>
      </c>
      <c r="BL20" s="130">
        <f t="shared" si="58"/>
        <v>4.3497573741050957</v>
      </c>
      <c r="BM20" s="131">
        <f t="shared" si="59"/>
        <v>0.15526614704133476</v>
      </c>
      <c r="BN20" s="130">
        <f t="shared" si="42"/>
        <v>77.459666924148308</v>
      </c>
      <c r="BO20" s="133">
        <f t="shared" si="43"/>
        <v>78.398999227036953</v>
      </c>
      <c r="BP20" s="133">
        <f t="shared" si="44"/>
        <v>12.24644397761314</v>
      </c>
      <c r="BQ20" s="134">
        <f t="shared" si="60"/>
        <v>0.15620663654326072</v>
      </c>
    </row>
    <row r="21" spans="1:69" x14ac:dyDescent="0.25">
      <c r="A21" t="s">
        <v>79</v>
      </c>
      <c r="B21" t="s">
        <v>379</v>
      </c>
      <c r="E21" s="152" t="str">
        <f>VLOOKUP(A21,Kleurtabel!$A$2:$F$822,6,FALSE)</f>
        <v>#80297551</v>
      </c>
      <c r="F21" s="125">
        <f t="shared" si="0"/>
        <v>13</v>
      </c>
      <c r="G21" s="124">
        <f t="shared" si="0"/>
        <v>15</v>
      </c>
      <c r="H21" s="130">
        <f t="shared" si="45"/>
        <v>2.6364997792818734</v>
      </c>
      <c r="I21" s="131">
        <f t="shared" si="46"/>
        <v>4.3495697155219858E-2</v>
      </c>
      <c r="J21" s="130">
        <f t="shared" si="1"/>
        <v>13.964240043768941</v>
      </c>
      <c r="K21" s="133">
        <f t="shared" si="2"/>
        <v>13.977455596330634</v>
      </c>
      <c r="L21" s="133">
        <f t="shared" si="3"/>
        <v>0.60824683477754204</v>
      </c>
      <c r="M21" s="134">
        <f t="shared" si="47"/>
        <v>4.3516277378639584E-2</v>
      </c>
      <c r="N21" s="125">
        <f t="shared" si="4"/>
        <v>13</v>
      </c>
      <c r="O21" s="124">
        <f t="shared" si="4"/>
        <v>15</v>
      </c>
      <c r="P21" s="130">
        <f t="shared" si="48"/>
        <v>2.6364997792818734</v>
      </c>
      <c r="Q21" s="131">
        <f t="shared" si="49"/>
        <v>4.3495697155219858E-2</v>
      </c>
      <c r="R21" s="132">
        <f t="shared" si="50"/>
        <v>13.964240043768941</v>
      </c>
      <c r="S21" s="132">
        <f t="shared" si="5"/>
        <v>13.977455596330634</v>
      </c>
      <c r="T21" s="133">
        <f t="shared" si="6"/>
        <v>0.60824683477754204</v>
      </c>
      <c r="U21" s="134">
        <f t="shared" si="51"/>
        <v>4.3516277378639584E-2</v>
      </c>
      <c r="V21" s="155">
        <f t="shared" si="7"/>
        <v>41</v>
      </c>
      <c r="W21" s="140">
        <f t="shared" si="52"/>
        <v>51.367990279019423</v>
      </c>
      <c r="X21" s="130">
        <f t="shared" si="8"/>
        <v>3.8262936439770425</v>
      </c>
      <c r="Y21" s="131">
        <f t="shared" si="9"/>
        <v>6.8523755180993851E-2</v>
      </c>
      <c r="Z21" s="130">
        <f t="shared" si="10"/>
        <v>45.892130059954674</v>
      </c>
      <c r="AA21" s="128">
        <f t="shared" si="11"/>
        <v>46</v>
      </c>
      <c r="AB21" s="133">
        <f t="shared" si="12"/>
        <v>3.1557965273137283</v>
      </c>
      <c r="AC21" s="134">
        <f t="shared" si="13"/>
        <v>6.860427233290714E-2</v>
      </c>
      <c r="AD21" s="125">
        <f t="shared" si="14"/>
        <v>0.30599999999999999</v>
      </c>
      <c r="AE21" s="140">
        <f t="shared" si="53"/>
        <v>0.32416509461390947</v>
      </c>
      <c r="AF21" s="130">
        <f t="shared" si="15"/>
        <v>-1.155336259359617</v>
      </c>
      <c r="AG21" s="131">
        <f t="shared" si="16"/>
        <v>1.7528217428655957E-2</v>
      </c>
      <c r="AH21" s="130">
        <f t="shared" si="17"/>
        <v>0.31495161366764945</v>
      </c>
      <c r="AI21" s="147">
        <f t="shared" si="18"/>
        <v>0.315</v>
      </c>
      <c r="AJ21" s="132">
        <f t="shared" si="19"/>
        <v>5.5218126128229921E-3</v>
      </c>
      <c r="AK21" s="134">
        <f t="shared" si="20"/>
        <v>1.752956385023172E-2</v>
      </c>
      <c r="AL21" s="125">
        <f t="shared" si="21"/>
        <v>0.89100000000000001</v>
      </c>
      <c r="AM21" s="140">
        <f t="shared" si="54"/>
        <v>0.90905710104543691</v>
      </c>
      <c r="AN21" s="130">
        <f t="shared" si="22"/>
        <v>-0.10537911042859724</v>
      </c>
      <c r="AO21" s="131">
        <f t="shared" si="23"/>
        <v>6.0983228466446882E-3</v>
      </c>
      <c r="AP21" s="130">
        <f t="shared" si="24"/>
        <v>0.89998326486189961</v>
      </c>
      <c r="AQ21" s="128">
        <f t="shared" si="25"/>
        <v>0.9</v>
      </c>
      <c r="AR21" s="133">
        <f t="shared" si="26"/>
        <v>5.4885415909943875E-3</v>
      </c>
      <c r="AS21" s="134">
        <f t="shared" si="27"/>
        <v>6.0983795455493194E-3</v>
      </c>
      <c r="AT21" s="125">
        <f t="shared" si="28"/>
        <v>5.67</v>
      </c>
      <c r="AU21" s="140">
        <f t="shared" si="55"/>
        <v>38.585736192824157</v>
      </c>
      <c r="AV21" s="130">
        <f t="shared" si="29"/>
        <v>2.694035898617293</v>
      </c>
      <c r="AW21" s="131">
        <f t="shared" si="30"/>
        <v>0.58288558108062727</v>
      </c>
      <c r="AX21" s="130">
        <f t="shared" si="31"/>
        <v>14.791251610776996</v>
      </c>
      <c r="AY21" s="128">
        <f t="shared" si="32"/>
        <v>17.53</v>
      </c>
      <c r="AZ21" s="133">
        <f t="shared" si="33"/>
        <v>11.150571937682336</v>
      </c>
      <c r="BA21" s="134">
        <f t="shared" si="34"/>
        <v>0.63608510768296267</v>
      </c>
      <c r="BB21" s="125">
        <f t="shared" si="35"/>
        <v>4.0999999999999996</v>
      </c>
      <c r="BC21" s="140">
        <f t="shared" si="56"/>
        <v>4.0999999999999996</v>
      </c>
      <c r="BD21" s="130">
        <f t="shared" si="36"/>
        <v>1.410986973710262</v>
      </c>
      <c r="BE21" s="131">
        <f t="shared" si="37"/>
        <v>0</v>
      </c>
      <c r="BF21" s="130">
        <f t="shared" si="38"/>
        <v>4.0999999999999996</v>
      </c>
      <c r="BG21" s="143">
        <f t="shared" si="57"/>
        <v>4.0999999999999996</v>
      </c>
      <c r="BH21" s="133">
        <f t="shared" si="39"/>
        <v>0</v>
      </c>
      <c r="BI21" s="134">
        <f t="shared" si="40"/>
        <v>0</v>
      </c>
      <c r="BJ21" s="125">
        <f t="shared" si="41"/>
        <v>60</v>
      </c>
      <c r="BK21" s="124">
        <f t="shared" si="41"/>
        <v>100</v>
      </c>
      <c r="BL21" s="130">
        <f t="shared" si="58"/>
        <v>4.3497573741050957</v>
      </c>
      <c r="BM21" s="131">
        <f t="shared" si="59"/>
        <v>0.15526614704133476</v>
      </c>
      <c r="BN21" s="130">
        <f t="shared" si="42"/>
        <v>77.459666924148308</v>
      </c>
      <c r="BO21" s="133">
        <f t="shared" si="43"/>
        <v>78.398999227036953</v>
      </c>
      <c r="BP21" s="133">
        <f t="shared" si="44"/>
        <v>12.24644397761314</v>
      </c>
      <c r="BQ21" s="134">
        <f t="shared" si="60"/>
        <v>0.15620663654326072</v>
      </c>
    </row>
    <row r="22" spans="1:69" x14ac:dyDescent="0.25">
      <c r="A22" t="s">
        <v>83</v>
      </c>
      <c r="B22" t="s">
        <v>379</v>
      </c>
      <c r="E22" s="152" t="str">
        <f>VLOOKUP(A22,Kleurtabel!$A$2:$F$822,6,FALSE)</f>
        <v>#80006F6C</v>
      </c>
      <c r="F22" s="125">
        <f t="shared" si="0"/>
        <v>13</v>
      </c>
      <c r="G22" s="124">
        <f t="shared" si="0"/>
        <v>15</v>
      </c>
      <c r="H22" s="130">
        <f t="shared" si="45"/>
        <v>2.6364997792818734</v>
      </c>
      <c r="I22" s="131">
        <f t="shared" si="46"/>
        <v>4.3495697155219858E-2</v>
      </c>
      <c r="J22" s="130">
        <f t="shared" si="1"/>
        <v>13.964240043768941</v>
      </c>
      <c r="K22" s="133">
        <f t="shared" si="2"/>
        <v>13.977455596330634</v>
      </c>
      <c r="L22" s="133">
        <f t="shared" si="3"/>
        <v>0.60824683477754204</v>
      </c>
      <c r="M22" s="134">
        <f t="shared" si="47"/>
        <v>4.3516277378639584E-2</v>
      </c>
      <c r="N22" s="125">
        <f t="shared" si="4"/>
        <v>13</v>
      </c>
      <c r="O22" s="124">
        <f t="shared" si="4"/>
        <v>15</v>
      </c>
      <c r="P22" s="130">
        <f t="shared" si="48"/>
        <v>2.6364997792818734</v>
      </c>
      <c r="Q22" s="131">
        <f t="shared" si="49"/>
        <v>4.3495697155219858E-2</v>
      </c>
      <c r="R22" s="132">
        <f t="shared" si="50"/>
        <v>13.964240043768941</v>
      </c>
      <c r="S22" s="132">
        <f t="shared" si="5"/>
        <v>13.977455596330634</v>
      </c>
      <c r="T22" s="133">
        <f t="shared" si="6"/>
        <v>0.60824683477754204</v>
      </c>
      <c r="U22" s="134">
        <f t="shared" si="51"/>
        <v>4.3516277378639584E-2</v>
      </c>
      <c r="V22" s="155">
        <f t="shared" si="7"/>
        <v>41</v>
      </c>
      <c r="W22" s="140">
        <f t="shared" si="52"/>
        <v>51.367990279019423</v>
      </c>
      <c r="X22" s="130">
        <f t="shared" si="8"/>
        <v>3.8262936439770425</v>
      </c>
      <c r="Y22" s="131">
        <f t="shared" si="9"/>
        <v>6.8523755180993851E-2</v>
      </c>
      <c r="Z22" s="130">
        <f t="shared" si="10"/>
        <v>45.892130059954674</v>
      </c>
      <c r="AA22" s="128">
        <f t="shared" si="11"/>
        <v>46</v>
      </c>
      <c r="AB22" s="133">
        <f t="shared" si="12"/>
        <v>3.1557965273137283</v>
      </c>
      <c r="AC22" s="134">
        <f t="shared" si="13"/>
        <v>6.860427233290714E-2</v>
      </c>
      <c r="AD22" s="125">
        <f t="shared" si="14"/>
        <v>0.30599999999999999</v>
      </c>
      <c r="AE22" s="140">
        <f t="shared" si="53"/>
        <v>0.32416509461390947</v>
      </c>
      <c r="AF22" s="130">
        <f t="shared" si="15"/>
        <v>-1.155336259359617</v>
      </c>
      <c r="AG22" s="131">
        <f t="shared" si="16"/>
        <v>1.7528217428655957E-2</v>
      </c>
      <c r="AH22" s="130">
        <f t="shared" si="17"/>
        <v>0.31495161366764945</v>
      </c>
      <c r="AI22" s="147">
        <f t="shared" si="18"/>
        <v>0.315</v>
      </c>
      <c r="AJ22" s="132">
        <f t="shared" si="19"/>
        <v>5.5218126128229921E-3</v>
      </c>
      <c r="AK22" s="134">
        <f t="shared" si="20"/>
        <v>1.752956385023172E-2</v>
      </c>
      <c r="AL22" s="125">
        <f t="shared" si="21"/>
        <v>0.89100000000000001</v>
      </c>
      <c r="AM22" s="140">
        <f t="shared" si="54"/>
        <v>0.90905710104543691</v>
      </c>
      <c r="AN22" s="130">
        <f t="shared" si="22"/>
        <v>-0.10537911042859724</v>
      </c>
      <c r="AO22" s="131">
        <f t="shared" si="23"/>
        <v>6.0983228466446882E-3</v>
      </c>
      <c r="AP22" s="130">
        <f t="shared" si="24"/>
        <v>0.89998326486189961</v>
      </c>
      <c r="AQ22" s="128">
        <f t="shared" si="25"/>
        <v>0.9</v>
      </c>
      <c r="AR22" s="133">
        <f t="shared" si="26"/>
        <v>5.4885415909943875E-3</v>
      </c>
      <c r="AS22" s="134">
        <f t="shared" si="27"/>
        <v>6.0983795455493194E-3</v>
      </c>
      <c r="AT22" s="125">
        <f t="shared" si="28"/>
        <v>5.67</v>
      </c>
      <c r="AU22" s="140">
        <f t="shared" si="55"/>
        <v>38.585736192824157</v>
      </c>
      <c r="AV22" s="130">
        <f t="shared" si="29"/>
        <v>2.694035898617293</v>
      </c>
      <c r="AW22" s="131">
        <f t="shared" si="30"/>
        <v>0.58288558108062727</v>
      </c>
      <c r="AX22" s="130">
        <f t="shared" si="31"/>
        <v>14.791251610776996</v>
      </c>
      <c r="AY22" s="128">
        <f t="shared" si="32"/>
        <v>17.53</v>
      </c>
      <c r="AZ22" s="133">
        <f t="shared" si="33"/>
        <v>11.150571937682336</v>
      </c>
      <c r="BA22" s="134">
        <f t="shared" si="34"/>
        <v>0.63608510768296267</v>
      </c>
      <c r="BB22" s="125">
        <f t="shared" si="35"/>
        <v>4.0999999999999996</v>
      </c>
      <c r="BC22" s="140">
        <f t="shared" si="56"/>
        <v>4.0999999999999996</v>
      </c>
      <c r="BD22" s="130">
        <f t="shared" si="36"/>
        <v>1.410986973710262</v>
      </c>
      <c r="BE22" s="131">
        <f t="shared" si="37"/>
        <v>0</v>
      </c>
      <c r="BF22" s="130">
        <f t="shared" si="38"/>
        <v>4.0999999999999996</v>
      </c>
      <c r="BG22" s="143">
        <f t="shared" si="57"/>
        <v>4.0999999999999996</v>
      </c>
      <c r="BH22" s="133">
        <f t="shared" si="39"/>
        <v>0</v>
      </c>
      <c r="BI22" s="134">
        <f t="shared" si="40"/>
        <v>0</v>
      </c>
      <c r="BJ22" s="125">
        <f t="shared" si="41"/>
        <v>60</v>
      </c>
      <c r="BK22" s="124">
        <f t="shared" si="41"/>
        <v>100</v>
      </c>
      <c r="BL22" s="130">
        <f t="shared" si="58"/>
        <v>4.3497573741050957</v>
      </c>
      <c r="BM22" s="131">
        <f t="shared" si="59"/>
        <v>0.15526614704133476</v>
      </c>
      <c r="BN22" s="130">
        <f t="shared" si="42"/>
        <v>77.459666924148308</v>
      </c>
      <c r="BO22" s="133">
        <f t="shared" si="43"/>
        <v>78.398999227036953</v>
      </c>
      <c r="BP22" s="133">
        <f t="shared" si="44"/>
        <v>12.24644397761314</v>
      </c>
      <c r="BQ22" s="134">
        <f t="shared" si="60"/>
        <v>0.15620663654326072</v>
      </c>
    </row>
    <row r="23" spans="1:69" x14ac:dyDescent="0.25">
      <c r="A23" t="s">
        <v>85</v>
      </c>
      <c r="B23" t="s">
        <v>377</v>
      </c>
      <c r="E23" s="152" t="str">
        <f>VLOOKUP(A23,Kleurtabel!$A$2:$F$822,6,FALSE)</f>
        <v>#00000000</v>
      </c>
      <c r="F23" s="125">
        <f t="shared" si="0"/>
        <v>18</v>
      </c>
      <c r="G23" s="124">
        <f t="shared" si="0"/>
        <v>19</v>
      </c>
      <c r="H23" s="130">
        <f t="shared" si="45"/>
        <v>2.9174053685313024</v>
      </c>
      <c r="I23" s="131">
        <f t="shared" si="46"/>
        <v>1.6433805857226671E-2</v>
      </c>
      <c r="J23" s="130">
        <f t="shared" si="1"/>
        <v>18.493242008906925</v>
      </c>
      <c r="K23" s="133">
        <f t="shared" si="2"/>
        <v>18.495739412224619</v>
      </c>
      <c r="L23" s="133">
        <f t="shared" si="3"/>
        <v>0.30397591414727615</v>
      </c>
      <c r="M23" s="134">
        <f t="shared" si="47"/>
        <v>1.6434915489043144E-2</v>
      </c>
      <c r="N23" s="125">
        <f t="shared" si="4"/>
        <v>20</v>
      </c>
      <c r="O23" s="124">
        <f t="shared" si="4"/>
        <v>21</v>
      </c>
      <c r="P23" s="130">
        <f t="shared" si="48"/>
        <v>3.0201273556387069</v>
      </c>
      <c r="Q23" s="131">
        <f t="shared" si="49"/>
        <v>1.4829837133566006E-2</v>
      </c>
      <c r="R23" s="132">
        <f t="shared" si="50"/>
        <v>20.493901531919196</v>
      </c>
      <c r="S23" s="132">
        <f t="shared" si="5"/>
        <v>20.496155206937743</v>
      </c>
      <c r="T23" s="133">
        <f t="shared" si="6"/>
        <v>0.30397135608439629</v>
      </c>
      <c r="U23" s="134">
        <f t="shared" si="51"/>
        <v>1.4830652530456298E-2</v>
      </c>
      <c r="V23" s="155">
        <f t="shared" si="7"/>
        <v>30.95</v>
      </c>
      <c r="W23" s="140">
        <f t="shared" si="52"/>
        <v>33.072180669348825</v>
      </c>
      <c r="X23" s="130">
        <f t="shared" si="8"/>
        <v>3.4655327324823864</v>
      </c>
      <c r="Y23" s="131">
        <f t="shared" si="9"/>
        <v>2.015789261506451E-2</v>
      </c>
      <c r="Z23" s="130">
        <f t="shared" si="10"/>
        <v>31.993499210251233</v>
      </c>
      <c r="AA23" s="128">
        <f t="shared" si="11"/>
        <v>32</v>
      </c>
      <c r="AB23" s="133">
        <f t="shared" si="12"/>
        <v>0.64511809699671463</v>
      </c>
      <c r="AC23" s="134">
        <f t="shared" si="13"/>
        <v>2.0159940531147332E-2</v>
      </c>
      <c r="AD23" s="125" t="str">
        <f t="shared" si="14"/>
        <v>-</v>
      </c>
      <c r="AE23" s="140" t="str">
        <f t="shared" si="53"/>
        <v>-</v>
      </c>
      <c r="AF23" s="130" t="str">
        <f t="shared" si="15"/>
        <v>-</v>
      </c>
      <c r="AG23" s="131" t="str">
        <f t="shared" si="16"/>
        <v>-</v>
      </c>
      <c r="AH23" s="130" t="str">
        <f t="shared" si="17"/>
        <v>-</v>
      </c>
      <c r="AI23" s="128" t="str">
        <f t="shared" si="18"/>
        <v>-</v>
      </c>
      <c r="AJ23" s="133" t="str">
        <f t="shared" si="19"/>
        <v>-</v>
      </c>
      <c r="AK23" s="134" t="str">
        <f t="shared" si="20"/>
        <v>-</v>
      </c>
      <c r="AL23" s="125" t="str">
        <f t="shared" si="21"/>
        <v>-</v>
      </c>
      <c r="AM23" s="140" t="str">
        <f t="shared" si="54"/>
        <v>-</v>
      </c>
      <c r="AN23" s="130" t="str">
        <f t="shared" si="22"/>
        <v>-</v>
      </c>
      <c r="AO23" s="131" t="str">
        <f t="shared" si="23"/>
        <v>-</v>
      </c>
      <c r="AP23" s="130" t="str">
        <f t="shared" si="24"/>
        <v>-</v>
      </c>
      <c r="AQ23" s="128" t="str">
        <f t="shared" si="25"/>
        <v>-</v>
      </c>
      <c r="AR23" s="133" t="str">
        <f t="shared" si="26"/>
        <v>-</v>
      </c>
      <c r="AS23" s="134" t="str">
        <f t="shared" si="27"/>
        <v>-</v>
      </c>
      <c r="AT23" s="125" t="str">
        <f t="shared" si="28"/>
        <v>-</v>
      </c>
      <c r="AU23" s="140" t="str">
        <f t="shared" si="55"/>
        <v>-</v>
      </c>
      <c r="AV23" s="130" t="str">
        <f t="shared" si="29"/>
        <v>-</v>
      </c>
      <c r="AW23" s="131" t="str">
        <f t="shared" si="30"/>
        <v>-</v>
      </c>
      <c r="AX23" s="130" t="str">
        <f t="shared" si="31"/>
        <v>-</v>
      </c>
      <c r="AY23" s="128" t="str">
        <f t="shared" si="32"/>
        <v>-</v>
      </c>
      <c r="AZ23" s="133" t="str">
        <f t="shared" si="33"/>
        <v>-</v>
      </c>
      <c r="BA23" s="134" t="str">
        <f t="shared" si="34"/>
        <v>-</v>
      </c>
      <c r="BB23" s="125" t="str">
        <f t="shared" si="35"/>
        <v>-</v>
      </c>
      <c r="BC23" s="140" t="str">
        <f t="shared" si="56"/>
        <v>-</v>
      </c>
      <c r="BD23" s="130" t="str">
        <f t="shared" si="36"/>
        <v>-</v>
      </c>
      <c r="BE23" s="131" t="str">
        <f t="shared" si="37"/>
        <v>-</v>
      </c>
      <c r="BF23" s="130" t="str">
        <f t="shared" si="38"/>
        <v>-</v>
      </c>
      <c r="BG23" s="143" t="str">
        <f t="shared" si="57"/>
        <v>-</v>
      </c>
      <c r="BH23" s="133" t="str">
        <f t="shared" si="39"/>
        <v>-</v>
      </c>
      <c r="BI23" s="134" t="str">
        <f t="shared" si="40"/>
        <v>-</v>
      </c>
      <c r="BJ23" s="125">
        <f t="shared" si="41"/>
        <v>103</v>
      </c>
      <c r="BK23" s="124">
        <f t="shared" si="41"/>
        <v>103</v>
      </c>
      <c r="BL23" s="130">
        <f t="shared" si="58"/>
        <v>4.6347289882296359</v>
      </c>
      <c r="BM23" s="131">
        <f t="shared" si="59"/>
        <v>0</v>
      </c>
      <c r="BN23" s="130">
        <f t="shared" si="42"/>
        <v>103.00000000000001</v>
      </c>
      <c r="BO23" s="133">
        <f t="shared" si="43"/>
        <v>103.00000000000001</v>
      </c>
      <c r="BP23" s="133">
        <f t="shared" si="44"/>
        <v>0</v>
      </c>
      <c r="BQ23" s="134">
        <f t="shared" si="60"/>
        <v>0</v>
      </c>
    </row>
    <row r="24" spans="1:69" x14ac:dyDescent="0.25">
      <c r="A24" t="s">
        <v>87</v>
      </c>
      <c r="B24" t="s">
        <v>377</v>
      </c>
      <c r="E24" s="152" t="str">
        <f>VLOOKUP(A24,Kleurtabel!$A$2:$F$822,6,FALSE)</f>
        <v>#00000000</v>
      </c>
      <c r="F24" s="125">
        <f t="shared" si="0"/>
        <v>18</v>
      </c>
      <c r="G24" s="124">
        <f t="shared" si="0"/>
        <v>20</v>
      </c>
      <c r="H24" s="130">
        <f t="shared" si="45"/>
        <v>2.9430520157250779</v>
      </c>
      <c r="I24" s="131">
        <f t="shared" si="46"/>
        <v>3.2024472844324116E-2</v>
      </c>
      <c r="J24" s="130">
        <f t="shared" si="1"/>
        <v>18.973665961010276</v>
      </c>
      <c r="K24" s="133">
        <f t="shared" si="2"/>
        <v>18.983397837489768</v>
      </c>
      <c r="L24" s="133">
        <f t="shared" si="3"/>
        <v>0.60808921091150459</v>
      </c>
      <c r="M24" s="134">
        <f t="shared" si="47"/>
        <v>3.2032685408436554E-2</v>
      </c>
      <c r="N24" s="125">
        <f t="shared" si="4"/>
        <v>18</v>
      </c>
      <c r="O24" s="124">
        <f t="shared" si="4"/>
        <v>20</v>
      </c>
      <c r="P24" s="130">
        <f t="shared" si="48"/>
        <v>2.9430520157250779</v>
      </c>
      <c r="Q24" s="131">
        <f t="shared" si="49"/>
        <v>3.2024472844324116E-2</v>
      </c>
      <c r="R24" s="132">
        <f t="shared" si="50"/>
        <v>18.973665961010276</v>
      </c>
      <c r="S24" s="132">
        <f t="shared" si="5"/>
        <v>18.983397837489768</v>
      </c>
      <c r="T24" s="133">
        <f t="shared" si="6"/>
        <v>0.60808921091150459</v>
      </c>
      <c r="U24" s="134">
        <f t="shared" si="51"/>
        <v>3.2032685408436554E-2</v>
      </c>
      <c r="V24" s="155">
        <f t="shared" si="7"/>
        <v>30.95</v>
      </c>
      <c r="W24" s="140">
        <f t="shared" si="52"/>
        <v>33.072180669348825</v>
      </c>
      <c r="X24" s="130">
        <f t="shared" si="8"/>
        <v>3.4655327324823864</v>
      </c>
      <c r="Y24" s="131">
        <f t="shared" si="9"/>
        <v>2.015789261506451E-2</v>
      </c>
      <c r="Z24" s="130">
        <f t="shared" si="10"/>
        <v>31.993499210251233</v>
      </c>
      <c r="AA24" s="128">
        <f t="shared" si="11"/>
        <v>32</v>
      </c>
      <c r="AB24" s="133">
        <f t="shared" si="12"/>
        <v>0.64511809699671463</v>
      </c>
      <c r="AC24" s="134">
        <f t="shared" si="13"/>
        <v>2.0159940531147332E-2</v>
      </c>
      <c r="AD24" s="125" t="str">
        <f t="shared" si="14"/>
        <v>-</v>
      </c>
      <c r="AE24" s="140" t="str">
        <f t="shared" si="53"/>
        <v>-</v>
      </c>
      <c r="AF24" s="130" t="str">
        <f t="shared" si="15"/>
        <v>-</v>
      </c>
      <c r="AG24" s="131" t="str">
        <f t="shared" si="16"/>
        <v>-</v>
      </c>
      <c r="AH24" s="130" t="str">
        <f t="shared" si="17"/>
        <v>-</v>
      </c>
      <c r="AI24" s="128" t="str">
        <f t="shared" si="18"/>
        <v>-</v>
      </c>
      <c r="AJ24" s="133" t="str">
        <f t="shared" si="19"/>
        <v>-</v>
      </c>
      <c r="AK24" s="134" t="str">
        <f t="shared" si="20"/>
        <v>-</v>
      </c>
      <c r="AL24" s="125" t="str">
        <f t="shared" si="21"/>
        <v>-</v>
      </c>
      <c r="AM24" s="140" t="str">
        <f t="shared" si="54"/>
        <v>-</v>
      </c>
      <c r="AN24" s="130" t="str">
        <f t="shared" si="22"/>
        <v>-</v>
      </c>
      <c r="AO24" s="131" t="str">
        <f t="shared" si="23"/>
        <v>-</v>
      </c>
      <c r="AP24" s="130" t="str">
        <f t="shared" si="24"/>
        <v>-</v>
      </c>
      <c r="AQ24" s="128" t="str">
        <f t="shared" si="25"/>
        <v>-</v>
      </c>
      <c r="AR24" s="133" t="str">
        <f t="shared" si="26"/>
        <v>-</v>
      </c>
      <c r="AS24" s="134" t="str">
        <f t="shared" si="27"/>
        <v>-</v>
      </c>
      <c r="AT24" s="125" t="str">
        <f t="shared" si="28"/>
        <v>-</v>
      </c>
      <c r="AU24" s="140" t="str">
        <f t="shared" si="55"/>
        <v>-</v>
      </c>
      <c r="AV24" s="130" t="str">
        <f t="shared" si="29"/>
        <v>-</v>
      </c>
      <c r="AW24" s="131" t="str">
        <f t="shared" si="30"/>
        <v>-</v>
      </c>
      <c r="AX24" s="130" t="str">
        <f t="shared" si="31"/>
        <v>-</v>
      </c>
      <c r="AY24" s="128" t="str">
        <f t="shared" si="32"/>
        <v>-</v>
      </c>
      <c r="AZ24" s="133" t="str">
        <f t="shared" si="33"/>
        <v>-</v>
      </c>
      <c r="BA24" s="134" t="str">
        <f t="shared" si="34"/>
        <v>-</v>
      </c>
      <c r="BB24" s="125">
        <f t="shared" si="35"/>
        <v>13.3</v>
      </c>
      <c r="BC24" s="140">
        <f t="shared" si="56"/>
        <v>13.300000000000002</v>
      </c>
      <c r="BD24" s="130">
        <f t="shared" si="36"/>
        <v>2.5877640352277083</v>
      </c>
      <c r="BE24" s="131">
        <f t="shared" si="37"/>
        <v>0</v>
      </c>
      <c r="BF24" s="130">
        <f t="shared" si="38"/>
        <v>13.300000000000002</v>
      </c>
      <c r="BG24" s="143">
        <f t="shared" si="57"/>
        <v>13.3</v>
      </c>
      <c r="BH24" s="133">
        <f t="shared" si="39"/>
        <v>0</v>
      </c>
      <c r="BI24" s="134">
        <f t="shared" si="40"/>
        <v>0</v>
      </c>
      <c r="BJ24" s="125">
        <f t="shared" si="41"/>
        <v>60</v>
      </c>
      <c r="BK24" s="124">
        <f t="shared" si="41"/>
        <v>100</v>
      </c>
      <c r="BL24" s="130">
        <f t="shared" si="58"/>
        <v>4.3497573741050957</v>
      </c>
      <c r="BM24" s="131">
        <f t="shared" si="59"/>
        <v>0.15526614704133476</v>
      </c>
      <c r="BN24" s="130">
        <f t="shared" si="42"/>
        <v>77.459666924148308</v>
      </c>
      <c r="BO24" s="133">
        <f t="shared" si="43"/>
        <v>78.398999227036953</v>
      </c>
      <c r="BP24" s="133">
        <f t="shared" si="44"/>
        <v>12.24644397761314</v>
      </c>
      <c r="BQ24" s="134">
        <f t="shared" si="60"/>
        <v>0.15620663654326072</v>
      </c>
    </row>
    <row r="25" spans="1:69" x14ac:dyDescent="0.25">
      <c r="A25" t="s">
        <v>91</v>
      </c>
      <c r="B25" t="s">
        <v>377</v>
      </c>
      <c r="E25" s="152" t="str">
        <f>VLOOKUP(A25,Kleurtabel!$A$2:$F$822,6,FALSE)</f>
        <v>#00000000</v>
      </c>
      <c r="F25" s="125">
        <f t="shared" si="0"/>
        <v>18</v>
      </c>
      <c r="G25" s="124">
        <f t="shared" si="0"/>
        <v>20</v>
      </c>
      <c r="H25" s="130">
        <f t="shared" si="45"/>
        <v>2.9430520157250779</v>
      </c>
      <c r="I25" s="131">
        <f t="shared" si="46"/>
        <v>3.2024472844324116E-2</v>
      </c>
      <c r="J25" s="130">
        <f t="shared" si="1"/>
        <v>18.973665961010276</v>
      </c>
      <c r="K25" s="133">
        <f t="shared" si="2"/>
        <v>18.983397837489768</v>
      </c>
      <c r="L25" s="133">
        <f t="shared" si="3"/>
        <v>0.60808921091150459</v>
      </c>
      <c r="M25" s="134">
        <f t="shared" si="47"/>
        <v>3.2032685408436554E-2</v>
      </c>
      <c r="N25" s="125">
        <f t="shared" si="4"/>
        <v>18</v>
      </c>
      <c r="O25" s="124">
        <f t="shared" si="4"/>
        <v>20</v>
      </c>
      <c r="P25" s="130">
        <f t="shared" si="48"/>
        <v>2.9430520157250779</v>
      </c>
      <c r="Q25" s="131">
        <f t="shared" si="49"/>
        <v>3.2024472844324116E-2</v>
      </c>
      <c r="R25" s="132">
        <f t="shared" si="50"/>
        <v>18.973665961010276</v>
      </c>
      <c r="S25" s="132">
        <f t="shared" si="5"/>
        <v>18.983397837489768</v>
      </c>
      <c r="T25" s="133">
        <f t="shared" si="6"/>
        <v>0.60808921091150459</v>
      </c>
      <c r="U25" s="134">
        <f t="shared" si="51"/>
        <v>3.2032685408436554E-2</v>
      </c>
      <c r="V25" s="155">
        <f t="shared" si="7"/>
        <v>30.95</v>
      </c>
      <c r="W25" s="140">
        <f t="shared" si="52"/>
        <v>33.072180669348825</v>
      </c>
      <c r="X25" s="130">
        <f t="shared" si="8"/>
        <v>3.4655327324823864</v>
      </c>
      <c r="Y25" s="131">
        <f t="shared" si="9"/>
        <v>2.015789261506451E-2</v>
      </c>
      <c r="Z25" s="130">
        <f t="shared" si="10"/>
        <v>31.993499210251233</v>
      </c>
      <c r="AA25" s="128">
        <f t="shared" si="11"/>
        <v>32</v>
      </c>
      <c r="AB25" s="133">
        <f t="shared" si="12"/>
        <v>0.64511809699671463</v>
      </c>
      <c r="AC25" s="134">
        <f t="shared" si="13"/>
        <v>2.0159940531147332E-2</v>
      </c>
      <c r="AD25" s="125" t="str">
        <f t="shared" si="14"/>
        <v>-</v>
      </c>
      <c r="AE25" s="140" t="str">
        <f t="shared" si="53"/>
        <v>-</v>
      </c>
      <c r="AF25" s="130" t="str">
        <f t="shared" si="15"/>
        <v>-</v>
      </c>
      <c r="AG25" s="131" t="str">
        <f t="shared" si="16"/>
        <v>-</v>
      </c>
      <c r="AH25" s="130" t="str">
        <f t="shared" si="17"/>
        <v>-</v>
      </c>
      <c r="AI25" s="128" t="str">
        <f t="shared" si="18"/>
        <v>-</v>
      </c>
      <c r="AJ25" s="133" t="str">
        <f t="shared" si="19"/>
        <v>-</v>
      </c>
      <c r="AK25" s="134" t="str">
        <f t="shared" si="20"/>
        <v>-</v>
      </c>
      <c r="AL25" s="125" t="str">
        <f t="shared" si="21"/>
        <v>-</v>
      </c>
      <c r="AM25" s="140" t="str">
        <f t="shared" si="54"/>
        <v>-</v>
      </c>
      <c r="AN25" s="130" t="str">
        <f t="shared" si="22"/>
        <v>-</v>
      </c>
      <c r="AO25" s="131" t="str">
        <f t="shared" si="23"/>
        <v>-</v>
      </c>
      <c r="AP25" s="130" t="str">
        <f t="shared" si="24"/>
        <v>-</v>
      </c>
      <c r="AQ25" s="128" t="str">
        <f t="shared" si="25"/>
        <v>-</v>
      </c>
      <c r="AR25" s="133" t="str">
        <f t="shared" si="26"/>
        <v>-</v>
      </c>
      <c r="AS25" s="134" t="str">
        <f t="shared" si="27"/>
        <v>-</v>
      </c>
      <c r="AT25" s="125" t="str">
        <f t="shared" si="28"/>
        <v>-</v>
      </c>
      <c r="AU25" s="140" t="str">
        <f t="shared" si="55"/>
        <v>-</v>
      </c>
      <c r="AV25" s="130" t="str">
        <f t="shared" si="29"/>
        <v>-</v>
      </c>
      <c r="AW25" s="131" t="str">
        <f t="shared" si="30"/>
        <v>-</v>
      </c>
      <c r="AX25" s="130" t="str">
        <f t="shared" si="31"/>
        <v>-</v>
      </c>
      <c r="AY25" s="128" t="str">
        <f t="shared" si="32"/>
        <v>-</v>
      </c>
      <c r="AZ25" s="133" t="str">
        <f t="shared" si="33"/>
        <v>-</v>
      </c>
      <c r="BA25" s="134" t="str">
        <f t="shared" si="34"/>
        <v>-</v>
      </c>
      <c r="BB25" s="125">
        <f t="shared" si="35"/>
        <v>13.3</v>
      </c>
      <c r="BC25" s="140">
        <f t="shared" si="56"/>
        <v>13.300000000000002</v>
      </c>
      <c r="BD25" s="130">
        <f t="shared" si="36"/>
        <v>2.5877640352277083</v>
      </c>
      <c r="BE25" s="131">
        <f t="shared" si="37"/>
        <v>0</v>
      </c>
      <c r="BF25" s="130">
        <f t="shared" si="38"/>
        <v>13.300000000000002</v>
      </c>
      <c r="BG25" s="143">
        <f t="shared" si="57"/>
        <v>13.3</v>
      </c>
      <c r="BH25" s="133">
        <f t="shared" si="39"/>
        <v>0</v>
      </c>
      <c r="BI25" s="134">
        <f t="shared" si="40"/>
        <v>0</v>
      </c>
      <c r="BJ25" s="125">
        <f t="shared" si="41"/>
        <v>60</v>
      </c>
      <c r="BK25" s="124">
        <f t="shared" si="41"/>
        <v>100</v>
      </c>
      <c r="BL25" s="130">
        <f t="shared" si="58"/>
        <v>4.3497573741050957</v>
      </c>
      <c r="BM25" s="131">
        <f t="shared" si="59"/>
        <v>0.15526614704133476</v>
      </c>
      <c r="BN25" s="130">
        <f t="shared" si="42"/>
        <v>77.459666924148308</v>
      </c>
      <c r="BO25" s="133">
        <f t="shared" si="43"/>
        <v>78.398999227036953</v>
      </c>
      <c r="BP25" s="133">
        <f t="shared" si="44"/>
        <v>12.24644397761314</v>
      </c>
      <c r="BQ25" s="134">
        <f t="shared" si="60"/>
        <v>0.15620663654326072</v>
      </c>
    </row>
    <row r="26" spans="1:69" x14ac:dyDescent="0.25">
      <c r="A26" t="s">
        <v>93</v>
      </c>
      <c r="B26" t="s">
        <v>377</v>
      </c>
      <c r="E26" s="152" t="str">
        <f>VLOOKUP(A26,Kleurtabel!$A$2:$F$822,6,FALSE)</f>
        <v>#00000000</v>
      </c>
      <c r="F26" s="125">
        <f t="shared" si="0"/>
        <v>18</v>
      </c>
      <c r="G26" s="124">
        <f t="shared" si="0"/>
        <v>19</v>
      </c>
      <c r="H26" s="130">
        <f t="shared" si="45"/>
        <v>2.9174053685313024</v>
      </c>
      <c r="I26" s="131">
        <f t="shared" si="46"/>
        <v>1.6433805857226671E-2</v>
      </c>
      <c r="J26" s="130">
        <f t="shared" si="1"/>
        <v>18.493242008906925</v>
      </c>
      <c r="K26" s="133">
        <f t="shared" si="2"/>
        <v>18.495739412224619</v>
      </c>
      <c r="L26" s="133">
        <f t="shared" si="3"/>
        <v>0.30397591414727615</v>
      </c>
      <c r="M26" s="134">
        <f t="shared" si="47"/>
        <v>1.6434915489043144E-2</v>
      </c>
      <c r="N26" s="125">
        <f t="shared" si="4"/>
        <v>20</v>
      </c>
      <c r="O26" s="124">
        <f t="shared" si="4"/>
        <v>21</v>
      </c>
      <c r="P26" s="130">
        <f t="shared" si="48"/>
        <v>3.0201273556387069</v>
      </c>
      <c r="Q26" s="131">
        <f t="shared" si="49"/>
        <v>1.4829837133566006E-2</v>
      </c>
      <c r="R26" s="132">
        <f t="shared" si="50"/>
        <v>20.493901531919196</v>
      </c>
      <c r="S26" s="132">
        <f t="shared" si="5"/>
        <v>20.496155206937743</v>
      </c>
      <c r="T26" s="133">
        <f t="shared" si="6"/>
        <v>0.30397135608439629</v>
      </c>
      <c r="U26" s="134">
        <f t="shared" si="51"/>
        <v>1.4830652530456298E-2</v>
      </c>
      <c r="V26" s="155">
        <f t="shared" si="7"/>
        <v>30.95</v>
      </c>
      <c r="W26" s="140">
        <f t="shared" si="52"/>
        <v>33.072180669348825</v>
      </c>
      <c r="X26" s="130">
        <f t="shared" si="8"/>
        <v>3.4655327324823864</v>
      </c>
      <c r="Y26" s="131">
        <f t="shared" si="9"/>
        <v>2.015789261506451E-2</v>
      </c>
      <c r="Z26" s="130">
        <f t="shared" si="10"/>
        <v>31.993499210251233</v>
      </c>
      <c r="AA26" s="128">
        <f t="shared" si="11"/>
        <v>32</v>
      </c>
      <c r="AB26" s="133">
        <f t="shared" si="12"/>
        <v>0.64511809699671463</v>
      </c>
      <c r="AC26" s="134">
        <f t="shared" si="13"/>
        <v>2.0159940531147332E-2</v>
      </c>
      <c r="AD26" s="125" t="str">
        <f t="shared" si="14"/>
        <v>-</v>
      </c>
      <c r="AE26" s="140" t="str">
        <f t="shared" si="53"/>
        <v>-</v>
      </c>
      <c r="AF26" s="130" t="str">
        <f t="shared" si="15"/>
        <v>-</v>
      </c>
      <c r="AG26" s="131" t="str">
        <f t="shared" si="16"/>
        <v>-</v>
      </c>
      <c r="AH26" s="130" t="str">
        <f t="shared" si="17"/>
        <v>-</v>
      </c>
      <c r="AI26" s="128" t="str">
        <f t="shared" si="18"/>
        <v>-</v>
      </c>
      <c r="AJ26" s="133" t="str">
        <f t="shared" si="19"/>
        <v>-</v>
      </c>
      <c r="AK26" s="134" t="str">
        <f t="shared" si="20"/>
        <v>-</v>
      </c>
      <c r="AL26" s="125" t="str">
        <f t="shared" si="21"/>
        <v>-</v>
      </c>
      <c r="AM26" s="140" t="str">
        <f t="shared" si="54"/>
        <v>-</v>
      </c>
      <c r="AN26" s="130" t="str">
        <f t="shared" si="22"/>
        <v>-</v>
      </c>
      <c r="AO26" s="131" t="str">
        <f t="shared" si="23"/>
        <v>-</v>
      </c>
      <c r="AP26" s="130" t="str">
        <f t="shared" si="24"/>
        <v>-</v>
      </c>
      <c r="AQ26" s="128" t="str">
        <f t="shared" si="25"/>
        <v>-</v>
      </c>
      <c r="AR26" s="133" t="str">
        <f t="shared" si="26"/>
        <v>-</v>
      </c>
      <c r="AS26" s="134" t="str">
        <f t="shared" si="27"/>
        <v>-</v>
      </c>
      <c r="AT26" s="125" t="str">
        <f t="shared" si="28"/>
        <v>-</v>
      </c>
      <c r="AU26" s="140" t="str">
        <f t="shared" si="55"/>
        <v>-</v>
      </c>
      <c r="AV26" s="130" t="str">
        <f t="shared" si="29"/>
        <v>-</v>
      </c>
      <c r="AW26" s="131" t="str">
        <f t="shared" si="30"/>
        <v>-</v>
      </c>
      <c r="AX26" s="130" t="str">
        <f t="shared" si="31"/>
        <v>-</v>
      </c>
      <c r="AY26" s="128" t="str">
        <f t="shared" si="32"/>
        <v>-</v>
      </c>
      <c r="AZ26" s="133" t="str">
        <f t="shared" si="33"/>
        <v>-</v>
      </c>
      <c r="BA26" s="134" t="str">
        <f t="shared" si="34"/>
        <v>-</v>
      </c>
      <c r="BB26" s="125" t="str">
        <f t="shared" si="35"/>
        <v>-</v>
      </c>
      <c r="BC26" s="140" t="str">
        <f t="shared" si="56"/>
        <v>-</v>
      </c>
      <c r="BD26" s="130" t="str">
        <f t="shared" si="36"/>
        <v>-</v>
      </c>
      <c r="BE26" s="131" t="str">
        <f t="shared" si="37"/>
        <v>-</v>
      </c>
      <c r="BF26" s="130" t="str">
        <f t="shared" si="38"/>
        <v>-</v>
      </c>
      <c r="BG26" s="143" t="str">
        <f t="shared" si="57"/>
        <v>-</v>
      </c>
      <c r="BH26" s="133" t="str">
        <f t="shared" si="39"/>
        <v>-</v>
      </c>
      <c r="BI26" s="134" t="str">
        <f t="shared" si="40"/>
        <v>-</v>
      </c>
      <c r="BJ26" s="125">
        <f t="shared" si="41"/>
        <v>103</v>
      </c>
      <c r="BK26" s="124">
        <f t="shared" si="41"/>
        <v>103</v>
      </c>
      <c r="BL26" s="130">
        <f t="shared" si="58"/>
        <v>4.6347289882296359</v>
      </c>
      <c r="BM26" s="131">
        <f t="shared" si="59"/>
        <v>0</v>
      </c>
      <c r="BN26" s="130">
        <f t="shared" si="42"/>
        <v>103.00000000000001</v>
      </c>
      <c r="BO26" s="133">
        <f t="shared" si="43"/>
        <v>103.00000000000001</v>
      </c>
      <c r="BP26" s="133">
        <f t="shared" si="44"/>
        <v>0</v>
      </c>
      <c r="BQ26" s="134">
        <f t="shared" si="60"/>
        <v>0</v>
      </c>
    </row>
    <row r="27" spans="1:69" x14ac:dyDescent="0.25">
      <c r="A27" t="s">
        <v>94</v>
      </c>
      <c r="B27" t="s">
        <v>377</v>
      </c>
      <c r="E27" s="152" t="str">
        <f>VLOOKUP(A27,Kleurtabel!$A$2:$F$822,6,FALSE)</f>
        <v>#80FFCC99</v>
      </c>
      <c r="F27" s="125">
        <f t="shared" si="0"/>
        <v>18</v>
      </c>
      <c r="G27" s="124">
        <f t="shared" si="0"/>
        <v>19</v>
      </c>
      <c r="H27" s="130">
        <f t="shared" si="45"/>
        <v>2.9174053685313024</v>
      </c>
      <c r="I27" s="131">
        <f t="shared" si="46"/>
        <v>1.6433805857226671E-2</v>
      </c>
      <c r="J27" s="130">
        <f t="shared" si="1"/>
        <v>18.493242008906925</v>
      </c>
      <c r="K27" s="133">
        <f t="shared" si="2"/>
        <v>18.495739412224619</v>
      </c>
      <c r="L27" s="133">
        <f t="shared" si="3"/>
        <v>0.30397591414727615</v>
      </c>
      <c r="M27" s="134">
        <f t="shared" si="47"/>
        <v>1.6434915489043144E-2</v>
      </c>
      <c r="N27" s="125">
        <f t="shared" si="4"/>
        <v>20</v>
      </c>
      <c r="O27" s="124">
        <f t="shared" si="4"/>
        <v>21</v>
      </c>
      <c r="P27" s="130">
        <f t="shared" si="48"/>
        <v>3.0201273556387069</v>
      </c>
      <c r="Q27" s="131">
        <f t="shared" si="49"/>
        <v>1.4829837133566006E-2</v>
      </c>
      <c r="R27" s="132">
        <f t="shared" si="50"/>
        <v>20.493901531919196</v>
      </c>
      <c r="S27" s="132">
        <f t="shared" si="5"/>
        <v>20.496155206937743</v>
      </c>
      <c r="T27" s="133">
        <f t="shared" si="6"/>
        <v>0.30397135608439629</v>
      </c>
      <c r="U27" s="134">
        <f t="shared" si="51"/>
        <v>1.4830652530456298E-2</v>
      </c>
      <c r="V27" s="155">
        <f t="shared" si="7"/>
        <v>33.200000000000003</v>
      </c>
      <c r="W27" s="140">
        <f t="shared" si="52"/>
        <v>34.812046266525151</v>
      </c>
      <c r="X27" s="130">
        <f t="shared" si="8"/>
        <v>3.5262566799441935</v>
      </c>
      <c r="Y27" s="131">
        <f t="shared" si="9"/>
        <v>1.4411431016261522E-2</v>
      </c>
      <c r="Z27" s="130">
        <f t="shared" si="10"/>
        <v>33.996469464469918</v>
      </c>
      <c r="AA27" s="128">
        <f t="shared" si="11"/>
        <v>34</v>
      </c>
      <c r="AB27" s="133">
        <f t="shared" si="12"/>
        <v>0.49001409700939824</v>
      </c>
      <c r="AC27" s="134">
        <f t="shared" si="13"/>
        <v>1.441217932380583E-2</v>
      </c>
      <c r="AD27" s="125" t="str">
        <f t="shared" si="14"/>
        <v>-</v>
      </c>
      <c r="AE27" s="140" t="str">
        <f t="shared" si="53"/>
        <v>-</v>
      </c>
      <c r="AF27" s="130" t="str">
        <f t="shared" si="15"/>
        <v>-</v>
      </c>
      <c r="AG27" s="131" t="str">
        <f t="shared" si="16"/>
        <v>-</v>
      </c>
      <c r="AH27" s="130" t="str">
        <f t="shared" si="17"/>
        <v>-</v>
      </c>
      <c r="AI27" s="128" t="str">
        <f t="shared" si="18"/>
        <v>-</v>
      </c>
      <c r="AJ27" s="133" t="str">
        <f t="shared" si="19"/>
        <v>-</v>
      </c>
      <c r="AK27" s="134" t="str">
        <f t="shared" si="20"/>
        <v>-</v>
      </c>
      <c r="AL27" s="125" t="str">
        <f t="shared" si="21"/>
        <v>-</v>
      </c>
      <c r="AM27" s="140" t="str">
        <f t="shared" si="54"/>
        <v>-</v>
      </c>
      <c r="AN27" s="130" t="str">
        <f t="shared" si="22"/>
        <v>-</v>
      </c>
      <c r="AO27" s="131" t="str">
        <f t="shared" si="23"/>
        <v>-</v>
      </c>
      <c r="AP27" s="130" t="str">
        <f t="shared" si="24"/>
        <v>-</v>
      </c>
      <c r="AQ27" s="128" t="str">
        <f t="shared" si="25"/>
        <v>-</v>
      </c>
      <c r="AR27" s="133" t="str">
        <f t="shared" si="26"/>
        <v>-</v>
      </c>
      <c r="AS27" s="134" t="str">
        <f t="shared" si="27"/>
        <v>-</v>
      </c>
      <c r="AT27" s="125" t="str">
        <f t="shared" si="28"/>
        <v>-</v>
      </c>
      <c r="AU27" s="140" t="str">
        <f t="shared" si="55"/>
        <v>-</v>
      </c>
      <c r="AV27" s="130" t="str">
        <f t="shared" si="29"/>
        <v>-</v>
      </c>
      <c r="AW27" s="131" t="str">
        <f t="shared" si="30"/>
        <v>-</v>
      </c>
      <c r="AX27" s="130" t="str">
        <f t="shared" si="31"/>
        <v>-</v>
      </c>
      <c r="AY27" s="128" t="str">
        <f t="shared" si="32"/>
        <v>-</v>
      </c>
      <c r="AZ27" s="133" t="str">
        <f t="shared" si="33"/>
        <v>-</v>
      </c>
      <c r="BA27" s="134" t="str">
        <f t="shared" si="34"/>
        <v>-</v>
      </c>
      <c r="BB27" s="125" t="str">
        <f t="shared" si="35"/>
        <v>-</v>
      </c>
      <c r="BC27" s="140" t="str">
        <f t="shared" si="56"/>
        <v>-</v>
      </c>
      <c r="BD27" s="130" t="str">
        <f t="shared" si="36"/>
        <v>-</v>
      </c>
      <c r="BE27" s="131" t="str">
        <f t="shared" si="37"/>
        <v>-</v>
      </c>
      <c r="BF27" s="130" t="str">
        <f t="shared" si="38"/>
        <v>-</v>
      </c>
      <c r="BG27" s="143" t="str">
        <f t="shared" si="57"/>
        <v>-</v>
      </c>
      <c r="BH27" s="133" t="str">
        <f t="shared" si="39"/>
        <v>-</v>
      </c>
      <c r="BI27" s="134" t="str">
        <f t="shared" si="40"/>
        <v>-</v>
      </c>
      <c r="BJ27" s="125">
        <f t="shared" si="41"/>
        <v>103</v>
      </c>
      <c r="BK27" s="124">
        <f t="shared" si="41"/>
        <v>103</v>
      </c>
      <c r="BL27" s="130">
        <f t="shared" si="58"/>
        <v>4.6347289882296359</v>
      </c>
      <c r="BM27" s="131">
        <f t="shared" si="59"/>
        <v>0</v>
      </c>
      <c r="BN27" s="130">
        <f t="shared" si="42"/>
        <v>103.00000000000001</v>
      </c>
      <c r="BO27" s="133">
        <f t="shared" si="43"/>
        <v>103.00000000000001</v>
      </c>
      <c r="BP27" s="133">
        <f t="shared" si="44"/>
        <v>0</v>
      </c>
      <c r="BQ27" s="134">
        <f t="shared" si="60"/>
        <v>0</v>
      </c>
    </row>
    <row r="28" spans="1:69" x14ac:dyDescent="0.25">
      <c r="A28" t="s">
        <v>97</v>
      </c>
      <c r="B28" t="s">
        <v>377</v>
      </c>
      <c r="E28" s="152" t="str">
        <f>VLOOKUP(A28,Kleurtabel!$A$2:$F$822,6,FALSE)</f>
        <v>#80FFFF00</v>
      </c>
      <c r="F28" s="125">
        <f t="shared" si="0"/>
        <v>17</v>
      </c>
      <c r="G28" s="124">
        <f t="shared" si="0"/>
        <v>18</v>
      </c>
      <c r="H28" s="130">
        <f t="shared" si="45"/>
        <v>2.8617925509761903</v>
      </c>
      <c r="I28" s="131">
        <f t="shared" si="46"/>
        <v>1.7373378066853601E-2</v>
      </c>
      <c r="J28" s="130">
        <f t="shared" si="1"/>
        <v>17.4928556845359</v>
      </c>
      <c r="K28" s="133">
        <f t="shared" si="2"/>
        <v>17.495495855377509</v>
      </c>
      <c r="L28" s="133">
        <f t="shared" si="3"/>
        <v>0.30397880147861883</v>
      </c>
      <c r="M28" s="134">
        <f t="shared" si="47"/>
        <v>1.7374689119496221E-2</v>
      </c>
      <c r="N28" s="125">
        <f t="shared" si="4"/>
        <v>19</v>
      </c>
      <c r="O28" s="124">
        <f t="shared" si="4"/>
        <v>20</v>
      </c>
      <c r="P28" s="130">
        <f t="shared" si="48"/>
        <v>2.9700856263602153</v>
      </c>
      <c r="Q28" s="131">
        <f t="shared" si="49"/>
        <v>1.5590666987097445E-2</v>
      </c>
      <c r="R28" s="132">
        <f t="shared" si="50"/>
        <v>19.493588689617919</v>
      </c>
      <c r="S28" s="132">
        <f t="shared" si="5"/>
        <v>19.495957976141646</v>
      </c>
      <c r="T28" s="133">
        <f t="shared" si="6"/>
        <v>0.30397345983682589</v>
      </c>
      <c r="U28" s="134">
        <f t="shared" si="51"/>
        <v>1.5591614436634309E-2</v>
      </c>
      <c r="V28" s="155">
        <f t="shared" si="7"/>
        <v>33.200000000000003</v>
      </c>
      <c r="W28" s="140">
        <f t="shared" si="52"/>
        <v>34.812046266525151</v>
      </c>
      <c r="X28" s="130">
        <f t="shared" si="8"/>
        <v>3.5262566799441935</v>
      </c>
      <c r="Y28" s="131">
        <f t="shared" si="9"/>
        <v>1.4411431016261522E-2</v>
      </c>
      <c r="Z28" s="130">
        <f t="shared" si="10"/>
        <v>33.996469464469918</v>
      </c>
      <c r="AA28" s="128">
        <f t="shared" si="11"/>
        <v>34</v>
      </c>
      <c r="AB28" s="133">
        <f t="shared" si="12"/>
        <v>0.49001409700939824</v>
      </c>
      <c r="AC28" s="134">
        <f t="shared" si="13"/>
        <v>1.441217932380583E-2</v>
      </c>
      <c r="AD28" s="125" t="str">
        <f t="shared" si="14"/>
        <v>-</v>
      </c>
      <c r="AE28" s="140" t="str">
        <f t="shared" si="53"/>
        <v>-</v>
      </c>
      <c r="AF28" s="130" t="str">
        <f t="shared" si="15"/>
        <v>-</v>
      </c>
      <c r="AG28" s="131" t="str">
        <f t="shared" si="16"/>
        <v>-</v>
      </c>
      <c r="AH28" s="130" t="str">
        <f t="shared" si="17"/>
        <v>-</v>
      </c>
      <c r="AI28" s="128" t="str">
        <f t="shared" si="18"/>
        <v>-</v>
      </c>
      <c r="AJ28" s="133" t="str">
        <f t="shared" si="19"/>
        <v>-</v>
      </c>
      <c r="AK28" s="134" t="str">
        <f t="shared" si="20"/>
        <v>-</v>
      </c>
      <c r="AL28" s="125" t="str">
        <f t="shared" si="21"/>
        <v>-</v>
      </c>
      <c r="AM28" s="140" t="str">
        <f t="shared" si="54"/>
        <v>-</v>
      </c>
      <c r="AN28" s="130" t="str">
        <f t="shared" si="22"/>
        <v>-</v>
      </c>
      <c r="AO28" s="131" t="str">
        <f t="shared" si="23"/>
        <v>-</v>
      </c>
      <c r="AP28" s="130" t="str">
        <f t="shared" si="24"/>
        <v>-</v>
      </c>
      <c r="AQ28" s="128" t="str">
        <f t="shared" si="25"/>
        <v>-</v>
      </c>
      <c r="AR28" s="133" t="str">
        <f t="shared" si="26"/>
        <v>-</v>
      </c>
      <c r="AS28" s="134" t="str">
        <f t="shared" si="27"/>
        <v>-</v>
      </c>
      <c r="AT28" s="125" t="str">
        <f t="shared" si="28"/>
        <v>-</v>
      </c>
      <c r="AU28" s="140" t="str">
        <f t="shared" si="55"/>
        <v>-</v>
      </c>
      <c r="AV28" s="130" t="str">
        <f t="shared" si="29"/>
        <v>-</v>
      </c>
      <c r="AW28" s="131" t="str">
        <f t="shared" si="30"/>
        <v>-</v>
      </c>
      <c r="AX28" s="130" t="str">
        <f t="shared" si="31"/>
        <v>-</v>
      </c>
      <c r="AY28" s="128" t="str">
        <f t="shared" si="32"/>
        <v>-</v>
      </c>
      <c r="AZ28" s="133" t="str">
        <f t="shared" si="33"/>
        <v>-</v>
      </c>
      <c r="BA28" s="134" t="str">
        <f t="shared" si="34"/>
        <v>-</v>
      </c>
      <c r="BB28" s="125" t="str">
        <f t="shared" si="35"/>
        <v>-</v>
      </c>
      <c r="BC28" s="140" t="str">
        <f t="shared" si="56"/>
        <v>-</v>
      </c>
      <c r="BD28" s="130" t="str">
        <f t="shared" si="36"/>
        <v>-</v>
      </c>
      <c r="BE28" s="131" t="str">
        <f t="shared" si="37"/>
        <v>-</v>
      </c>
      <c r="BF28" s="130" t="str">
        <f t="shared" si="38"/>
        <v>-</v>
      </c>
      <c r="BG28" s="143" t="str">
        <f t="shared" si="57"/>
        <v>-</v>
      </c>
      <c r="BH28" s="133" t="str">
        <f t="shared" si="39"/>
        <v>-</v>
      </c>
      <c r="BI28" s="134" t="str">
        <f t="shared" si="40"/>
        <v>-</v>
      </c>
      <c r="BJ28" s="125">
        <f t="shared" si="41"/>
        <v>103</v>
      </c>
      <c r="BK28" s="124">
        <f t="shared" si="41"/>
        <v>103</v>
      </c>
      <c r="BL28" s="130">
        <f t="shared" si="58"/>
        <v>4.6347289882296359</v>
      </c>
      <c r="BM28" s="131">
        <f t="shared" si="59"/>
        <v>0</v>
      </c>
      <c r="BN28" s="130">
        <f t="shared" si="42"/>
        <v>103.00000000000001</v>
      </c>
      <c r="BO28" s="133">
        <f t="shared" si="43"/>
        <v>103.00000000000001</v>
      </c>
      <c r="BP28" s="133">
        <f t="shared" si="44"/>
        <v>0</v>
      </c>
      <c r="BQ28" s="134">
        <f t="shared" si="60"/>
        <v>0</v>
      </c>
    </row>
    <row r="29" spans="1:69" x14ac:dyDescent="0.25">
      <c r="A29" t="s">
        <v>99</v>
      </c>
      <c r="B29" t="s">
        <v>377</v>
      </c>
      <c r="E29" s="152" t="str">
        <f>VLOOKUP(A29,Kleurtabel!$A$2:$F$822,6,FALSE)</f>
        <v>#80FFFF99</v>
      </c>
      <c r="F29" s="125">
        <f t="shared" si="0"/>
        <v>17</v>
      </c>
      <c r="G29" s="124">
        <f t="shared" si="0"/>
        <v>18</v>
      </c>
      <c r="H29" s="130">
        <f t="shared" si="45"/>
        <v>2.8617925509761903</v>
      </c>
      <c r="I29" s="131">
        <f t="shared" si="46"/>
        <v>1.7373378066853601E-2</v>
      </c>
      <c r="J29" s="130">
        <f t="shared" si="1"/>
        <v>17.4928556845359</v>
      </c>
      <c r="K29" s="133">
        <f t="shared" si="2"/>
        <v>17.495495855377509</v>
      </c>
      <c r="L29" s="133">
        <f t="shared" si="3"/>
        <v>0.30397880147861883</v>
      </c>
      <c r="M29" s="134">
        <f t="shared" si="47"/>
        <v>1.7374689119496221E-2</v>
      </c>
      <c r="N29" s="125">
        <f t="shared" si="4"/>
        <v>19</v>
      </c>
      <c r="O29" s="124">
        <f t="shared" si="4"/>
        <v>20</v>
      </c>
      <c r="P29" s="130">
        <f t="shared" si="48"/>
        <v>2.9700856263602153</v>
      </c>
      <c r="Q29" s="131">
        <f t="shared" si="49"/>
        <v>1.5590666987097445E-2</v>
      </c>
      <c r="R29" s="132">
        <f t="shared" si="50"/>
        <v>19.493588689617919</v>
      </c>
      <c r="S29" s="132">
        <f t="shared" si="5"/>
        <v>19.495957976141646</v>
      </c>
      <c r="T29" s="133">
        <f t="shared" si="6"/>
        <v>0.30397345983682589</v>
      </c>
      <c r="U29" s="134">
        <f t="shared" si="51"/>
        <v>1.5591614436634309E-2</v>
      </c>
      <c r="V29" s="155">
        <f t="shared" si="7"/>
        <v>33.200000000000003</v>
      </c>
      <c r="W29" s="140">
        <f t="shared" si="52"/>
        <v>34.812046266525151</v>
      </c>
      <c r="X29" s="130">
        <f t="shared" si="8"/>
        <v>3.5262566799441935</v>
      </c>
      <c r="Y29" s="131">
        <f t="shared" si="9"/>
        <v>1.4411431016261522E-2</v>
      </c>
      <c r="Z29" s="130">
        <f t="shared" si="10"/>
        <v>33.996469464469918</v>
      </c>
      <c r="AA29" s="128">
        <f t="shared" si="11"/>
        <v>34</v>
      </c>
      <c r="AB29" s="133">
        <f t="shared" si="12"/>
        <v>0.49001409700939824</v>
      </c>
      <c r="AC29" s="134">
        <f t="shared" si="13"/>
        <v>1.441217932380583E-2</v>
      </c>
      <c r="AD29" s="125" t="str">
        <f t="shared" si="14"/>
        <v>-</v>
      </c>
      <c r="AE29" s="140" t="str">
        <f t="shared" si="53"/>
        <v>-</v>
      </c>
      <c r="AF29" s="130" t="str">
        <f t="shared" si="15"/>
        <v>-</v>
      </c>
      <c r="AG29" s="131" t="str">
        <f t="shared" si="16"/>
        <v>-</v>
      </c>
      <c r="AH29" s="130" t="str">
        <f t="shared" si="17"/>
        <v>-</v>
      </c>
      <c r="AI29" s="128" t="str">
        <f t="shared" si="18"/>
        <v>-</v>
      </c>
      <c r="AJ29" s="133" t="str">
        <f t="shared" si="19"/>
        <v>-</v>
      </c>
      <c r="AK29" s="134" t="str">
        <f t="shared" si="20"/>
        <v>-</v>
      </c>
      <c r="AL29" s="125" t="str">
        <f t="shared" si="21"/>
        <v>-</v>
      </c>
      <c r="AM29" s="140" t="str">
        <f t="shared" si="54"/>
        <v>-</v>
      </c>
      <c r="AN29" s="130" t="str">
        <f t="shared" si="22"/>
        <v>-</v>
      </c>
      <c r="AO29" s="131" t="str">
        <f t="shared" si="23"/>
        <v>-</v>
      </c>
      <c r="AP29" s="130" t="str">
        <f t="shared" si="24"/>
        <v>-</v>
      </c>
      <c r="AQ29" s="128" t="str">
        <f t="shared" si="25"/>
        <v>-</v>
      </c>
      <c r="AR29" s="133" t="str">
        <f t="shared" si="26"/>
        <v>-</v>
      </c>
      <c r="AS29" s="134" t="str">
        <f t="shared" si="27"/>
        <v>-</v>
      </c>
      <c r="AT29" s="125" t="str">
        <f t="shared" si="28"/>
        <v>-</v>
      </c>
      <c r="AU29" s="140" t="str">
        <f t="shared" si="55"/>
        <v>-</v>
      </c>
      <c r="AV29" s="130" t="str">
        <f t="shared" si="29"/>
        <v>-</v>
      </c>
      <c r="AW29" s="131" t="str">
        <f t="shared" si="30"/>
        <v>-</v>
      </c>
      <c r="AX29" s="130" t="str">
        <f t="shared" si="31"/>
        <v>-</v>
      </c>
      <c r="AY29" s="128" t="str">
        <f t="shared" si="32"/>
        <v>-</v>
      </c>
      <c r="AZ29" s="133" t="str">
        <f t="shared" si="33"/>
        <v>-</v>
      </c>
      <c r="BA29" s="134" t="str">
        <f t="shared" si="34"/>
        <v>-</v>
      </c>
      <c r="BB29" s="125" t="str">
        <f t="shared" si="35"/>
        <v>-</v>
      </c>
      <c r="BC29" s="140" t="str">
        <f t="shared" si="56"/>
        <v>-</v>
      </c>
      <c r="BD29" s="130" t="str">
        <f t="shared" si="36"/>
        <v>-</v>
      </c>
      <c r="BE29" s="131" t="str">
        <f t="shared" si="37"/>
        <v>-</v>
      </c>
      <c r="BF29" s="130" t="str">
        <f t="shared" si="38"/>
        <v>-</v>
      </c>
      <c r="BG29" s="143" t="str">
        <f t="shared" si="57"/>
        <v>-</v>
      </c>
      <c r="BH29" s="133" t="str">
        <f t="shared" si="39"/>
        <v>-</v>
      </c>
      <c r="BI29" s="134" t="str">
        <f t="shared" si="40"/>
        <v>-</v>
      </c>
      <c r="BJ29" s="125">
        <f t="shared" si="41"/>
        <v>103</v>
      </c>
      <c r="BK29" s="124">
        <f t="shared" si="41"/>
        <v>103</v>
      </c>
      <c r="BL29" s="130">
        <f t="shared" si="58"/>
        <v>4.6347289882296359</v>
      </c>
      <c r="BM29" s="131">
        <f t="shared" si="59"/>
        <v>0</v>
      </c>
      <c r="BN29" s="130">
        <f t="shared" si="42"/>
        <v>103.00000000000001</v>
      </c>
      <c r="BO29" s="133">
        <f t="shared" si="43"/>
        <v>103.00000000000001</v>
      </c>
      <c r="BP29" s="133">
        <f t="shared" si="44"/>
        <v>0</v>
      </c>
      <c r="BQ29" s="134">
        <f t="shared" si="60"/>
        <v>0</v>
      </c>
    </row>
    <row r="30" spans="1:69" x14ac:dyDescent="0.25">
      <c r="A30" t="s">
        <v>393</v>
      </c>
      <c r="B30" t="s">
        <v>379</v>
      </c>
      <c r="E30" s="152" t="e">
        <f>VLOOKUP(A30,Kleurtabel!$A$2:$F$822,6,FALSE)</f>
        <v>#N/A</v>
      </c>
      <c r="F30" s="125">
        <f>F31</f>
        <v>13</v>
      </c>
      <c r="G30" s="125">
        <f t="shared" ref="G30:BQ30" si="112">G31</f>
        <v>15</v>
      </c>
      <c r="H30" s="125">
        <f t="shared" si="112"/>
        <v>2.6364997792818734</v>
      </c>
      <c r="I30" s="125">
        <f t="shared" si="112"/>
        <v>4.3495697155219858E-2</v>
      </c>
      <c r="J30" s="125">
        <f t="shared" si="112"/>
        <v>13.964240043768941</v>
      </c>
      <c r="K30" s="125">
        <f t="shared" si="112"/>
        <v>13.977455596330634</v>
      </c>
      <c r="L30" s="125">
        <f t="shared" si="112"/>
        <v>0.60824683477754204</v>
      </c>
      <c r="M30" s="125">
        <f t="shared" si="112"/>
        <v>4.3516277378639584E-2</v>
      </c>
      <c r="N30" s="125">
        <f t="shared" si="112"/>
        <v>13</v>
      </c>
      <c r="O30" s="125">
        <f t="shared" si="112"/>
        <v>15</v>
      </c>
      <c r="P30" s="125">
        <f t="shared" si="112"/>
        <v>2.6364997792818734</v>
      </c>
      <c r="Q30" s="125">
        <f t="shared" si="112"/>
        <v>4.3495697155219858E-2</v>
      </c>
      <c r="R30" s="125">
        <f t="shared" si="112"/>
        <v>13.964240043768941</v>
      </c>
      <c r="S30" s="125">
        <f t="shared" si="112"/>
        <v>13.977455596330634</v>
      </c>
      <c r="T30" s="125">
        <f t="shared" si="112"/>
        <v>0.60824683477754204</v>
      </c>
      <c r="U30" s="125">
        <f t="shared" si="112"/>
        <v>4.3516277378639584E-2</v>
      </c>
      <c r="V30" s="125">
        <f t="shared" si="112"/>
        <v>41</v>
      </c>
      <c r="W30" s="125">
        <f t="shared" si="112"/>
        <v>51.367990279019423</v>
      </c>
      <c r="X30" s="125">
        <f t="shared" si="112"/>
        <v>3.8262936439770425</v>
      </c>
      <c r="Y30" s="125">
        <f t="shared" si="112"/>
        <v>6.8523755180993851E-2</v>
      </c>
      <c r="Z30" s="125">
        <f t="shared" si="112"/>
        <v>45.892130059954674</v>
      </c>
      <c r="AA30" s="125">
        <f t="shared" si="112"/>
        <v>46</v>
      </c>
      <c r="AB30" s="125">
        <f t="shared" si="112"/>
        <v>3.1557965273137283</v>
      </c>
      <c r="AC30" s="125">
        <f t="shared" si="112"/>
        <v>6.860427233290714E-2</v>
      </c>
      <c r="AD30" s="125">
        <f t="shared" si="112"/>
        <v>0.30599999999999999</v>
      </c>
      <c r="AE30" s="125">
        <f t="shared" si="112"/>
        <v>0.32416509461390947</v>
      </c>
      <c r="AF30" s="125">
        <f t="shared" si="112"/>
        <v>-1.155336259359617</v>
      </c>
      <c r="AG30" s="125">
        <f t="shared" si="112"/>
        <v>1.7528217428655957E-2</v>
      </c>
      <c r="AH30" s="125">
        <f t="shared" si="112"/>
        <v>0.31495161366764945</v>
      </c>
      <c r="AI30" s="125">
        <f t="shared" si="112"/>
        <v>0.315</v>
      </c>
      <c r="AJ30" s="125">
        <f t="shared" si="112"/>
        <v>5.5218126128229921E-3</v>
      </c>
      <c r="AK30" s="125">
        <f t="shared" si="112"/>
        <v>1.752956385023172E-2</v>
      </c>
      <c r="AL30" s="125">
        <f t="shared" si="112"/>
        <v>0.89100000000000001</v>
      </c>
      <c r="AM30" s="125">
        <f t="shared" si="112"/>
        <v>0.90905710104543691</v>
      </c>
      <c r="AN30" s="125">
        <f t="shared" si="112"/>
        <v>-0.10537911042859724</v>
      </c>
      <c r="AO30" s="125">
        <f t="shared" si="112"/>
        <v>6.0983228466446882E-3</v>
      </c>
      <c r="AP30" s="125">
        <f t="shared" si="112"/>
        <v>0.89998326486189961</v>
      </c>
      <c r="AQ30" s="125">
        <f t="shared" si="112"/>
        <v>0.9</v>
      </c>
      <c r="AR30" s="125">
        <f t="shared" si="112"/>
        <v>5.4885415909943875E-3</v>
      </c>
      <c r="AS30" s="125">
        <f t="shared" si="112"/>
        <v>6.0983795455493194E-3</v>
      </c>
      <c r="AT30" s="125">
        <f t="shared" si="112"/>
        <v>5.67</v>
      </c>
      <c r="AU30" s="125">
        <f t="shared" si="112"/>
        <v>38.585736192824157</v>
      </c>
      <c r="AV30" s="125">
        <f t="shared" si="112"/>
        <v>2.694035898617293</v>
      </c>
      <c r="AW30" s="125">
        <f t="shared" si="112"/>
        <v>0.58288558108062727</v>
      </c>
      <c r="AX30" s="125">
        <f t="shared" si="112"/>
        <v>14.791251610776996</v>
      </c>
      <c r="AY30" s="125">
        <f t="shared" si="112"/>
        <v>17.53</v>
      </c>
      <c r="AZ30" s="125">
        <f t="shared" si="112"/>
        <v>11.150571937682336</v>
      </c>
      <c r="BA30" s="125">
        <f t="shared" si="112"/>
        <v>0.63608510768296267</v>
      </c>
      <c r="BB30" s="125">
        <f t="shared" si="112"/>
        <v>4.0999999999999996</v>
      </c>
      <c r="BC30" s="125">
        <f t="shared" si="112"/>
        <v>4.0999999999999996</v>
      </c>
      <c r="BD30" s="125">
        <f t="shared" si="112"/>
        <v>1.410986973710262</v>
      </c>
      <c r="BE30" s="125">
        <f t="shared" si="112"/>
        <v>0</v>
      </c>
      <c r="BF30" s="125">
        <f t="shared" si="112"/>
        <v>4.0999999999999996</v>
      </c>
      <c r="BG30" s="125">
        <f t="shared" si="112"/>
        <v>4.0999999999999996</v>
      </c>
      <c r="BH30" s="125">
        <f t="shared" si="112"/>
        <v>0</v>
      </c>
      <c r="BI30" s="125">
        <f t="shared" si="112"/>
        <v>0</v>
      </c>
      <c r="BJ30" s="125">
        <f t="shared" si="112"/>
        <v>40</v>
      </c>
      <c r="BK30" s="125">
        <f t="shared" si="112"/>
        <v>90</v>
      </c>
      <c r="BL30" s="125">
        <f t="shared" si="112"/>
        <v>4.0943445622221004</v>
      </c>
      <c r="BM30" s="125">
        <f t="shared" si="112"/>
        <v>0.24648334839402089</v>
      </c>
      <c r="BN30" s="125">
        <f t="shared" si="112"/>
        <v>59.999999999999986</v>
      </c>
      <c r="BO30" s="125">
        <f t="shared" si="112"/>
        <v>61.850586582081121</v>
      </c>
      <c r="BP30" s="125">
        <f t="shared" si="112"/>
        <v>15.47964829042014</v>
      </c>
      <c r="BQ30" s="125">
        <f t="shared" si="112"/>
        <v>0.25027488251671304</v>
      </c>
    </row>
    <row r="31" spans="1:69" x14ac:dyDescent="0.25">
      <c r="A31" t="s">
        <v>101</v>
      </c>
      <c r="B31" t="s">
        <v>379</v>
      </c>
      <c r="E31" s="152" t="str">
        <f>VLOOKUP(A31,Kleurtabel!$A$2:$F$822,6,FALSE)</f>
        <v>#80666633</v>
      </c>
      <c r="F31" s="125">
        <f t="shared" si="0"/>
        <v>13</v>
      </c>
      <c r="G31" s="124">
        <f t="shared" si="0"/>
        <v>15</v>
      </c>
      <c r="H31" s="130">
        <f t="shared" si="45"/>
        <v>2.6364997792818734</v>
      </c>
      <c r="I31" s="131">
        <f t="shared" si="46"/>
        <v>4.3495697155219858E-2</v>
      </c>
      <c r="J31" s="130">
        <f t="shared" si="1"/>
        <v>13.964240043768941</v>
      </c>
      <c r="K31" s="133">
        <f t="shared" si="2"/>
        <v>13.977455596330634</v>
      </c>
      <c r="L31" s="133">
        <f t="shared" si="3"/>
        <v>0.60824683477754204</v>
      </c>
      <c r="M31" s="134">
        <f t="shared" si="47"/>
        <v>4.3516277378639584E-2</v>
      </c>
      <c r="N31" s="125">
        <f t="shared" si="4"/>
        <v>13</v>
      </c>
      <c r="O31" s="124">
        <f t="shared" si="4"/>
        <v>15</v>
      </c>
      <c r="P31" s="130">
        <f t="shared" si="48"/>
        <v>2.6364997792818734</v>
      </c>
      <c r="Q31" s="131">
        <f t="shared" si="49"/>
        <v>4.3495697155219858E-2</v>
      </c>
      <c r="R31" s="132">
        <f t="shared" si="50"/>
        <v>13.964240043768941</v>
      </c>
      <c r="S31" s="132">
        <f t="shared" si="5"/>
        <v>13.977455596330634</v>
      </c>
      <c r="T31" s="133">
        <f t="shared" si="6"/>
        <v>0.60824683477754204</v>
      </c>
      <c r="U31" s="134">
        <f t="shared" si="51"/>
        <v>4.3516277378639584E-2</v>
      </c>
      <c r="V31" s="155">
        <f t="shared" si="7"/>
        <v>41</v>
      </c>
      <c r="W31" s="140">
        <f t="shared" si="52"/>
        <v>51.367990279019423</v>
      </c>
      <c r="X31" s="130">
        <f t="shared" si="8"/>
        <v>3.8262936439770425</v>
      </c>
      <c r="Y31" s="131">
        <f t="shared" si="9"/>
        <v>6.8523755180993851E-2</v>
      </c>
      <c r="Z31" s="130">
        <f t="shared" si="10"/>
        <v>45.892130059954674</v>
      </c>
      <c r="AA31" s="128">
        <f t="shared" si="11"/>
        <v>46</v>
      </c>
      <c r="AB31" s="133">
        <f t="shared" si="12"/>
        <v>3.1557965273137283</v>
      </c>
      <c r="AC31" s="134">
        <f t="shared" si="13"/>
        <v>6.860427233290714E-2</v>
      </c>
      <c r="AD31" s="125">
        <f t="shared" si="14"/>
        <v>0.30599999999999999</v>
      </c>
      <c r="AE31" s="140">
        <f t="shared" si="53"/>
        <v>0.32416509461390947</v>
      </c>
      <c r="AF31" s="130">
        <f t="shared" si="15"/>
        <v>-1.155336259359617</v>
      </c>
      <c r="AG31" s="131">
        <f t="shared" si="16"/>
        <v>1.7528217428655957E-2</v>
      </c>
      <c r="AH31" s="130">
        <f t="shared" si="17"/>
        <v>0.31495161366764945</v>
      </c>
      <c r="AI31" s="128">
        <f t="shared" si="18"/>
        <v>0.315</v>
      </c>
      <c r="AJ31" s="133">
        <f t="shared" si="19"/>
        <v>5.5218126128229921E-3</v>
      </c>
      <c r="AK31" s="134">
        <f t="shared" si="20"/>
        <v>1.752956385023172E-2</v>
      </c>
      <c r="AL31" s="125">
        <f t="shared" si="21"/>
        <v>0.89100000000000001</v>
      </c>
      <c r="AM31" s="140">
        <f t="shared" si="54"/>
        <v>0.90905710104543691</v>
      </c>
      <c r="AN31" s="130">
        <f t="shared" si="22"/>
        <v>-0.10537911042859724</v>
      </c>
      <c r="AO31" s="131">
        <f t="shared" si="23"/>
        <v>6.0983228466446882E-3</v>
      </c>
      <c r="AP31" s="130">
        <f t="shared" si="24"/>
        <v>0.89998326486189961</v>
      </c>
      <c r="AQ31" s="128">
        <f t="shared" si="25"/>
        <v>0.9</v>
      </c>
      <c r="AR31" s="133">
        <f t="shared" si="26"/>
        <v>5.4885415909943875E-3</v>
      </c>
      <c r="AS31" s="134">
        <f t="shared" si="27"/>
        <v>6.0983795455493194E-3</v>
      </c>
      <c r="AT31" s="125">
        <f t="shared" si="28"/>
        <v>5.67</v>
      </c>
      <c r="AU31" s="140">
        <f t="shared" si="55"/>
        <v>38.585736192824157</v>
      </c>
      <c r="AV31" s="130">
        <f t="shared" si="29"/>
        <v>2.694035898617293</v>
      </c>
      <c r="AW31" s="131">
        <f t="shared" si="30"/>
        <v>0.58288558108062727</v>
      </c>
      <c r="AX31" s="130">
        <f t="shared" si="31"/>
        <v>14.791251610776996</v>
      </c>
      <c r="AY31" s="128">
        <f t="shared" si="32"/>
        <v>17.53</v>
      </c>
      <c r="AZ31" s="133">
        <f t="shared" si="33"/>
        <v>11.150571937682336</v>
      </c>
      <c r="BA31" s="134">
        <f t="shared" si="34"/>
        <v>0.63608510768296267</v>
      </c>
      <c r="BB31" s="125">
        <f t="shared" si="35"/>
        <v>4.0999999999999996</v>
      </c>
      <c r="BC31" s="140">
        <f t="shared" si="56"/>
        <v>4.0999999999999996</v>
      </c>
      <c r="BD31" s="130">
        <f t="shared" si="36"/>
        <v>1.410986973710262</v>
      </c>
      <c r="BE31" s="131">
        <f t="shared" si="37"/>
        <v>0</v>
      </c>
      <c r="BF31" s="130">
        <f t="shared" si="38"/>
        <v>4.0999999999999996</v>
      </c>
      <c r="BG31" s="143">
        <f t="shared" si="57"/>
        <v>4.0999999999999996</v>
      </c>
      <c r="BH31" s="133">
        <f t="shared" si="39"/>
        <v>0</v>
      </c>
      <c r="BI31" s="134">
        <f t="shared" si="40"/>
        <v>0</v>
      </c>
      <c r="BJ31" s="125">
        <f t="shared" si="41"/>
        <v>40</v>
      </c>
      <c r="BK31" s="124">
        <f t="shared" si="41"/>
        <v>90</v>
      </c>
      <c r="BL31" s="130">
        <f t="shared" si="58"/>
        <v>4.0943445622221004</v>
      </c>
      <c r="BM31" s="131">
        <f t="shared" si="59"/>
        <v>0.24648334839402089</v>
      </c>
      <c r="BN31" s="130">
        <f t="shared" si="42"/>
        <v>59.999999999999986</v>
      </c>
      <c r="BO31" s="133">
        <f t="shared" si="43"/>
        <v>61.850586582081121</v>
      </c>
      <c r="BP31" s="133">
        <f t="shared" si="44"/>
        <v>15.47964829042014</v>
      </c>
      <c r="BQ31" s="134">
        <f t="shared" si="60"/>
        <v>0.25027488251671304</v>
      </c>
    </row>
    <row r="32" spans="1:69" x14ac:dyDescent="0.25">
      <c r="A32" t="s">
        <v>392</v>
      </c>
      <c r="B32" t="s">
        <v>379</v>
      </c>
      <c r="E32" s="152" t="e">
        <f>VLOOKUP(A32,Kleurtabel!$A$2:$F$822,6,FALSE)</f>
        <v>#N/A</v>
      </c>
      <c r="F32" s="125">
        <f>F33</f>
        <v>18</v>
      </c>
      <c r="G32" s="125">
        <f t="shared" ref="G32:BQ32" si="113">G33</f>
        <v>19</v>
      </c>
      <c r="H32" s="125">
        <f t="shared" si="113"/>
        <v>2.9174053685313024</v>
      </c>
      <c r="I32" s="125">
        <f t="shared" si="113"/>
        <v>1.6433805857226671E-2</v>
      </c>
      <c r="J32" s="125">
        <f t="shared" si="113"/>
        <v>18.493242008906925</v>
      </c>
      <c r="K32" s="125">
        <f t="shared" si="113"/>
        <v>18.495739412224619</v>
      </c>
      <c r="L32" s="125">
        <f t="shared" si="113"/>
        <v>0.30397591414727615</v>
      </c>
      <c r="M32" s="125">
        <f t="shared" si="113"/>
        <v>1.6434915489043144E-2</v>
      </c>
      <c r="N32" s="125">
        <f t="shared" si="113"/>
        <v>20</v>
      </c>
      <c r="O32" s="125">
        <f t="shared" si="113"/>
        <v>21</v>
      </c>
      <c r="P32" s="125">
        <f t="shared" si="113"/>
        <v>3.0201273556387069</v>
      </c>
      <c r="Q32" s="125">
        <f t="shared" si="113"/>
        <v>1.4829837133566006E-2</v>
      </c>
      <c r="R32" s="125">
        <f t="shared" si="113"/>
        <v>20.493901531919196</v>
      </c>
      <c r="S32" s="125">
        <f t="shared" si="113"/>
        <v>20.496155206937743</v>
      </c>
      <c r="T32" s="125">
        <f t="shared" si="113"/>
        <v>0.30397135608439629</v>
      </c>
      <c r="U32" s="125">
        <f t="shared" si="113"/>
        <v>1.4830652530456298E-2</v>
      </c>
      <c r="V32" s="125">
        <f t="shared" si="113"/>
        <v>30.95</v>
      </c>
      <c r="W32" s="125">
        <f t="shared" si="113"/>
        <v>33.072180669348825</v>
      </c>
      <c r="X32" s="125">
        <f t="shared" si="113"/>
        <v>3.4655327324823864</v>
      </c>
      <c r="Y32" s="125">
        <f t="shared" si="113"/>
        <v>2.015789261506451E-2</v>
      </c>
      <c r="Z32" s="125">
        <f t="shared" si="113"/>
        <v>31.993499210251233</v>
      </c>
      <c r="AA32" s="125">
        <f t="shared" si="113"/>
        <v>32</v>
      </c>
      <c r="AB32" s="125">
        <f t="shared" si="113"/>
        <v>0.64511809699671463</v>
      </c>
      <c r="AC32" s="125">
        <f t="shared" si="113"/>
        <v>2.0159940531147332E-2</v>
      </c>
      <c r="AD32" s="125" t="str">
        <f t="shared" si="113"/>
        <v>-</v>
      </c>
      <c r="AE32" s="125" t="str">
        <f t="shared" si="113"/>
        <v>-</v>
      </c>
      <c r="AF32" s="125" t="str">
        <f t="shared" si="113"/>
        <v>-</v>
      </c>
      <c r="AG32" s="125" t="str">
        <f t="shared" si="113"/>
        <v>-</v>
      </c>
      <c r="AH32" s="125" t="str">
        <f t="shared" si="113"/>
        <v>-</v>
      </c>
      <c r="AI32" s="125" t="str">
        <f t="shared" si="113"/>
        <v>-</v>
      </c>
      <c r="AJ32" s="125" t="str">
        <f t="shared" si="113"/>
        <v>-</v>
      </c>
      <c r="AK32" s="125" t="str">
        <f t="shared" si="113"/>
        <v>-</v>
      </c>
      <c r="AL32" s="125" t="str">
        <f t="shared" si="113"/>
        <v>-</v>
      </c>
      <c r="AM32" s="125" t="str">
        <f t="shared" si="113"/>
        <v>-</v>
      </c>
      <c r="AN32" s="125" t="str">
        <f t="shared" si="113"/>
        <v>-</v>
      </c>
      <c r="AO32" s="125" t="str">
        <f t="shared" si="113"/>
        <v>-</v>
      </c>
      <c r="AP32" s="125" t="str">
        <f t="shared" si="113"/>
        <v>-</v>
      </c>
      <c r="AQ32" s="125" t="str">
        <f t="shared" si="113"/>
        <v>-</v>
      </c>
      <c r="AR32" s="125" t="str">
        <f t="shared" si="113"/>
        <v>-</v>
      </c>
      <c r="AS32" s="125" t="str">
        <f t="shared" si="113"/>
        <v>-</v>
      </c>
      <c r="AT32" s="125" t="str">
        <f t="shared" si="113"/>
        <v>-</v>
      </c>
      <c r="AU32" s="125" t="str">
        <f t="shared" si="113"/>
        <v>-</v>
      </c>
      <c r="AV32" s="125" t="str">
        <f t="shared" si="113"/>
        <v>-</v>
      </c>
      <c r="AW32" s="125" t="str">
        <f t="shared" si="113"/>
        <v>-</v>
      </c>
      <c r="AX32" s="125" t="str">
        <f t="shared" si="113"/>
        <v>-</v>
      </c>
      <c r="AY32" s="125" t="str">
        <f t="shared" si="113"/>
        <v>-</v>
      </c>
      <c r="AZ32" s="125" t="str">
        <f t="shared" si="113"/>
        <v>-</v>
      </c>
      <c r="BA32" s="125" t="str">
        <f t="shared" si="113"/>
        <v>-</v>
      </c>
      <c r="BB32" s="125" t="str">
        <f t="shared" si="113"/>
        <v>-</v>
      </c>
      <c r="BC32" s="125" t="str">
        <f t="shared" si="113"/>
        <v>-</v>
      </c>
      <c r="BD32" s="125" t="str">
        <f t="shared" si="113"/>
        <v>-</v>
      </c>
      <c r="BE32" s="125" t="str">
        <f t="shared" si="113"/>
        <v>-</v>
      </c>
      <c r="BF32" s="125" t="str">
        <f t="shared" si="113"/>
        <v>-</v>
      </c>
      <c r="BG32" s="125" t="str">
        <f t="shared" si="113"/>
        <v>-</v>
      </c>
      <c r="BH32" s="125" t="str">
        <f t="shared" si="113"/>
        <v>-</v>
      </c>
      <c r="BI32" s="125" t="str">
        <f t="shared" si="113"/>
        <v>-</v>
      </c>
      <c r="BJ32" s="125">
        <f t="shared" si="113"/>
        <v>103</v>
      </c>
      <c r="BK32" s="125">
        <f t="shared" si="113"/>
        <v>103</v>
      </c>
      <c r="BL32" s="125">
        <f t="shared" si="113"/>
        <v>4.6347289882296359</v>
      </c>
      <c r="BM32" s="125">
        <f t="shared" si="113"/>
        <v>0</v>
      </c>
      <c r="BN32" s="125">
        <f t="shared" si="113"/>
        <v>103.00000000000001</v>
      </c>
      <c r="BO32" s="125">
        <f t="shared" si="113"/>
        <v>103.00000000000001</v>
      </c>
      <c r="BP32" s="125">
        <f t="shared" si="113"/>
        <v>0</v>
      </c>
      <c r="BQ32" s="125">
        <f t="shared" si="113"/>
        <v>0</v>
      </c>
    </row>
    <row r="33" spans="1:69" x14ac:dyDescent="0.25">
      <c r="A33" t="s">
        <v>104</v>
      </c>
      <c r="B33" t="s">
        <v>379</v>
      </c>
      <c r="E33" s="152" t="str">
        <f>VLOOKUP(A33,Kleurtabel!$A$2:$F$822,6,FALSE)</f>
        <v>#80666633</v>
      </c>
      <c r="F33" s="125">
        <f t="shared" si="0"/>
        <v>18</v>
      </c>
      <c r="G33" s="124">
        <f t="shared" si="0"/>
        <v>19</v>
      </c>
      <c r="H33" s="130">
        <f t="shared" si="45"/>
        <v>2.9174053685313024</v>
      </c>
      <c r="I33" s="131">
        <f t="shared" si="46"/>
        <v>1.6433805857226671E-2</v>
      </c>
      <c r="J33" s="130">
        <f t="shared" si="1"/>
        <v>18.493242008906925</v>
      </c>
      <c r="K33" s="133">
        <f t="shared" si="2"/>
        <v>18.495739412224619</v>
      </c>
      <c r="L33" s="133">
        <f t="shared" si="3"/>
        <v>0.30397591414727615</v>
      </c>
      <c r="M33" s="134">
        <f t="shared" si="47"/>
        <v>1.6434915489043144E-2</v>
      </c>
      <c r="N33" s="125">
        <f t="shared" si="4"/>
        <v>20</v>
      </c>
      <c r="O33" s="124">
        <f t="shared" si="4"/>
        <v>21</v>
      </c>
      <c r="P33" s="130">
        <f t="shared" si="48"/>
        <v>3.0201273556387069</v>
      </c>
      <c r="Q33" s="131">
        <f t="shared" si="49"/>
        <v>1.4829837133566006E-2</v>
      </c>
      <c r="R33" s="132">
        <f t="shared" si="50"/>
        <v>20.493901531919196</v>
      </c>
      <c r="S33" s="132">
        <f t="shared" si="5"/>
        <v>20.496155206937743</v>
      </c>
      <c r="T33" s="133">
        <f t="shared" si="6"/>
        <v>0.30397135608439629</v>
      </c>
      <c r="U33" s="134">
        <f t="shared" si="51"/>
        <v>1.4830652530456298E-2</v>
      </c>
      <c r="V33" s="155">
        <f t="shared" si="7"/>
        <v>30.95</v>
      </c>
      <c r="W33" s="140">
        <f t="shared" si="52"/>
        <v>33.072180669348825</v>
      </c>
      <c r="X33" s="130">
        <f t="shared" si="8"/>
        <v>3.4655327324823864</v>
      </c>
      <c r="Y33" s="131">
        <f t="shared" si="9"/>
        <v>2.015789261506451E-2</v>
      </c>
      <c r="Z33" s="130">
        <f t="shared" si="10"/>
        <v>31.993499210251233</v>
      </c>
      <c r="AA33" s="128">
        <f t="shared" si="11"/>
        <v>32</v>
      </c>
      <c r="AB33" s="133">
        <f t="shared" si="12"/>
        <v>0.64511809699671463</v>
      </c>
      <c r="AC33" s="134">
        <f t="shared" si="13"/>
        <v>2.0159940531147332E-2</v>
      </c>
      <c r="AD33" s="125" t="str">
        <f t="shared" si="14"/>
        <v>-</v>
      </c>
      <c r="AE33" s="140" t="str">
        <f t="shared" si="53"/>
        <v>-</v>
      </c>
      <c r="AF33" s="130" t="str">
        <f t="shared" si="15"/>
        <v>-</v>
      </c>
      <c r="AG33" s="131" t="str">
        <f t="shared" si="16"/>
        <v>-</v>
      </c>
      <c r="AH33" s="130" t="str">
        <f t="shared" si="17"/>
        <v>-</v>
      </c>
      <c r="AI33" s="128" t="str">
        <f t="shared" si="18"/>
        <v>-</v>
      </c>
      <c r="AJ33" s="133" t="str">
        <f t="shared" si="19"/>
        <v>-</v>
      </c>
      <c r="AK33" s="134" t="str">
        <f t="shared" si="20"/>
        <v>-</v>
      </c>
      <c r="AL33" s="125" t="str">
        <f t="shared" si="21"/>
        <v>-</v>
      </c>
      <c r="AM33" s="140" t="str">
        <f t="shared" si="54"/>
        <v>-</v>
      </c>
      <c r="AN33" s="130" t="str">
        <f t="shared" si="22"/>
        <v>-</v>
      </c>
      <c r="AO33" s="131" t="str">
        <f t="shared" si="23"/>
        <v>-</v>
      </c>
      <c r="AP33" s="130" t="str">
        <f t="shared" si="24"/>
        <v>-</v>
      </c>
      <c r="AQ33" s="128" t="str">
        <f t="shared" si="25"/>
        <v>-</v>
      </c>
      <c r="AR33" s="133" t="str">
        <f t="shared" si="26"/>
        <v>-</v>
      </c>
      <c r="AS33" s="134" t="str">
        <f t="shared" si="27"/>
        <v>-</v>
      </c>
      <c r="AT33" s="125" t="str">
        <f t="shared" si="28"/>
        <v>-</v>
      </c>
      <c r="AU33" s="140" t="str">
        <f t="shared" si="55"/>
        <v>-</v>
      </c>
      <c r="AV33" s="130" t="str">
        <f t="shared" si="29"/>
        <v>-</v>
      </c>
      <c r="AW33" s="131" t="str">
        <f t="shared" si="30"/>
        <v>-</v>
      </c>
      <c r="AX33" s="130" t="str">
        <f t="shared" si="31"/>
        <v>-</v>
      </c>
      <c r="AY33" s="128" t="str">
        <f t="shared" si="32"/>
        <v>-</v>
      </c>
      <c r="AZ33" s="133" t="str">
        <f t="shared" si="33"/>
        <v>-</v>
      </c>
      <c r="BA33" s="134" t="str">
        <f t="shared" si="34"/>
        <v>-</v>
      </c>
      <c r="BB33" s="125" t="str">
        <f t="shared" si="35"/>
        <v>-</v>
      </c>
      <c r="BC33" s="140" t="str">
        <f t="shared" si="56"/>
        <v>-</v>
      </c>
      <c r="BD33" s="130" t="str">
        <f t="shared" si="36"/>
        <v>-</v>
      </c>
      <c r="BE33" s="131" t="str">
        <f t="shared" si="37"/>
        <v>-</v>
      </c>
      <c r="BF33" s="130" t="str">
        <f t="shared" si="38"/>
        <v>-</v>
      </c>
      <c r="BG33" s="143" t="str">
        <f t="shared" si="57"/>
        <v>-</v>
      </c>
      <c r="BH33" s="133" t="str">
        <f t="shared" si="39"/>
        <v>-</v>
      </c>
      <c r="BI33" s="134" t="str">
        <f t="shared" si="40"/>
        <v>-</v>
      </c>
      <c r="BJ33" s="125">
        <f t="shared" si="41"/>
        <v>103</v>
      </c>
      <c r="BK33" s="124">
        <f t="shared" si="41"/>
        <v>103</v>
      </c>
      <c r="BL33" s="130">
        <f t="shared" si="58"/>
        <v>4.6347289882296359</v>
      </c>
      <c r="BM33" s="131">
        <f t="shared" si="59"/>
        <v>0</v>
      </c>
      <c r="BN33" s="130">
        <f t="shared" si="42"/>
        <v>103.00000000000001</v>
      </c>
      <c r="BO33" s="133">
        <f t="shared" si="43"/>
        <v>103.00000000000001</v>
      </c>
      <c r="BP33" s="133">
        <f t="shared" si="44"/>
        <v>0</v>
      </c>
      <c r="BQ33" s="134">
        <f t="shared" si="60"/>
        <v>0</v>
      </c>
    </row>
    <row r="34" spans="1:69" x14ac:dyDescent="0.25">
      <c r="A34" t="s">
        <v>391</v>
      </c>
      <c r="B34" t="s">
        <v>378</v>
      </c>
      <c r="E34" s="152" t="e">
        <f>VLOOKUP(A34,Kleurtabel!$A$2:$F$822,6,FALSE)</f>
        <v>#N/A</v>
      </c>
      <c r="F34" s="125">
        <f>F35</f>
        <v>15</v>
      </c>
      <c r="G34" s="125">
        <f t="shared" ref="G34:BQ34" si="114">G35</f>
        <v>18</v>
      </c>
      <c r="H34" s="125">
        <f t="shared" si="114"/>
        <v>2.7992109794991871</v>
      </c>
      <c r="I34" s="125">
        <f t="shared" si="114"/>
        <v>5.5416886563511993E-2</v>
      </c>
      <c r="J34" s="125">
        <f t="shared" si="114"/>
        <v>16.431676725154979</v>
      </c>
      <c r="K34" s="125">
        <f t="shared" si="114"/>
        <v>16.456927203347885</v>
      </c>
      <c r="L34" s="125">
        <f t="shared" si="114"/>
        <v>0.9126923049410256</v>
      </c>
      <c r="M34" s="125">
        <f t="shared" si="114"/>
        <v>5.545946054591247E-2</v>
      </c>
      <c r="N34" s="125">
        <f t="shared" si="114"/>
        <v>15</v>
      </c>
      <c r="O34" s="125">
        <f t="shared" si="114"/>
        <v>18</v>
      </c>
      <c r="P34" s="125">
        <f t="shared" si="114"/>
        <v>2.7992109794991871</v>
      </c>
      <c r="Q34" s="125">
        <f t="shared" si="114"/>
        <v>5.5416886563511993E-2</v>
      </c>
      <c r="R34" s="125">
        <f t="shared" si="114"/>
        <v>16.431676725154979</v>
      </c>
      <c r="S34" s="125">
        <f t="shared" si="114"/>
        <v>16.456927203347885</v>
      </c>
      <c r="T34" s="125">
        <f t="shared" si="114"/>
        <v>0.9126923049410256</v>
      </c>
      <c r="U34" s="125">
        <f t="shared" si="114"/>
        <v>5.545946054591247E-2</v>
      </c>
      <c r="V34" s="125">
        <f t="shared" si="114"/>
        <v>30.95</v>
      </c>
      <c r="W34" s="125">
        <f t="shared" si="114"/>
        <v>33.072180669348825</v>
      </c>
      <c r="X34" s="125">
        <f t="shared" si="114"/>
        <v>3.4655327324823864</v>
      </c>
      <c r="Y34" s="125">
        <f t="shared" si="114"/>
        <v>2.015789261506451E-2</v>
      </c>
      <c r="Z34" s="125">
        <f t="shared" si="114"/>
        <v>31.993499210251233</v>
      </c>
      <c r="AA34" s="125">
        <f t="shared" si="114"/>
        <v>32</v>
      </c>
      <c r="AB34" s="125">
        <f t="shared" si="114"/>
        <v>0.64511809699671463</v>
      </c>
      <c r="AC34" s="125">
        <f t="shared" si="114"/>
        <v>2.0159940531147332E-2</v>
      </c>
      <c r="AD34" s="125">
        <f t="shared" si="114"/>
        <v>0.25900000000000001</v>
      </c>
      <c r="AE34" s="125">
        <f t="shared" si="114"/>
        <v>0.26502181438571959</v>
      </c>
      <c r="AF34" s="125">
        <f t="shared" si="114"/>
        <v>-1.3394351776149065</v>
      </c>
      <c r="AG34" s="125">
        <f t="shared" si="114"/>
        <v>6.9860423511809433E-3</v>
      </c>
      <c r="AH34" s="125">
        <f t="shared" si="114"/>
        <v>0.26199360665081384</v>
      </c>
      <c r="AI34" s="125">
        <f t="shared" si="114"/>
        <v>0.26200000000000001</v>
      </c>
      <c r="AJ34" s="125">
        <f t="shared" si="114"/>
        <v>1.8303654286145486E-3</v>
      </c>
      <c r="AK34" s="125">
        <f t="shared" si="114"/>
        <v>6.9861275901318643E-3</v>
      </c>
      <c r="AL34" s="125">
        <f t="shared" si="114"/>
        <v>0.89200000000000002</v>
      </c>
      <c r="AM34" s="125">
        <f t="shared" si="114"/>
        <v>0.90804508506493276</v>
      </c>
      <c r="AN34" s="125">
        <f t="shared" si="114"/>
        <v>-0.10537519743021823</v>
      </c>
      <c r="AO34" s="125">
        <f t="shared" si="114"/>
        <v>5.4188139646866862E-3</v>
      </c>
      <c r="AP34" s="125">
        <f t="shared" si="114"/>
        <v>0.89998678650184627</v>
      </c>
      <c r="AQ34" s="125">
        <f t="shared" si="114"/>
        <v>0.9</v>
      </c>
      <c r="AR34" s="125">
        <f t="shared" si="114"/>
        <v>4.8769683694481559E-3</v>
      </c>
      <c r="AS34" s="125">
        <f t="shared" si="114"/>
        <v>5.4188537438312843E-3</v>
      </c>
      <c r="AT34" s="125">
        <f t="shared" si="114"/>
        <v>28.42</v>
      </c>
      <c r="AU34" s="125">
        <f t="shared" si="114"/>
        <v>75.763974700376622</v>
      </c>
      <c r="AV34" s="125">
        <f t="shared" si="114"/>
        <v>3.8373580172683415</v>
      </c>
      <c r="AW34" s="125">
        <f t="shared" si="114"/>
        <v>0.29803337057713475</v>
      </c>
      <c r="AX34" s="125">
        <f t="shared" si="114"/>
        <v>46.402717172431885</v>
      </c>
      <c r="AY34" s="125">
        <f t="shared" si="114"/>
        <v>48.51</v>
      </c>
      <c r="AZ34" s="125">
        <f t="shared" si="114"/>
        <v>14.784664711090059</v>
      </c>
      <c r="BA34" s="125">
        <f t="shared" si="114"/>
        <v>0.30477560731993525</v>
      </c>
      <c r="BB34" s="125">
        <f t="shared" si="114"/>
        <v>8</v>
      </c>
      <c r="BC34" s="125">
        <f t="shared" si="114"/>
        <v>7.9999999999999982</v>
      </c>
      <c r="BD34" s="125">
        <f t="shared" si="114"/>
        <v>2.0794415416798357</v>
      </c>
      <c r="BE34" s="125">
        <f t="shared" si="114"/>
        <v>0</v>
      </c>
      <c r="BF34" s="125">
        <f t="shared" si="114"/>
        <v>7.9999999999999982</v>
      </c>
      <c r="BG34" s="125">
        <f t="shared" si="114"/>
        <v>8</v>
      </c>
      <c r="BH34" s="125">
        <f t="shared" si="114"/>
        <v>0</v>
      </c>
      <c r="BI34" s="125">
        <f t="shared" si="114"/>
        <v>0</v>
      </c>
      <c r="BJ34" s="125">
        <f t="shared" si="114"/>
        <v>40</v>
      </c>
      <c r="BK34" s="125">
        <f t="shared" si="114"/>
        <v>90</v>
      </c>
      <c r="BL34" s="125">
        <f t="shared" si="114"/>
        <v>4.0943445622221004</v>
      </c>
      <c r="BM34" s="125">
        <f t="shared" si="114"/>
        <v>0.24648334839402089</v>
      </c>
      <c r="BN34" s="125">
        <f t="shared" si="114"/>
        <v>59.999999999999986</v>
      </c>
      <c r="BO34" s="125">
        <f t="shared" si="114"/>
        <v>61.850586582081121</v>
      </c>
      <c r="BP34" s="125">
        <f t="shared" si="114"/>
        <v>15.47964829042014</v>
      </c>
      <c r="BQ34" s="125">
        <f t="shared" si="114"/>
        <v>0.25027488251671304</v>
      </c>
    </row>
    <row r="35" spans="1:69" x14ac:dyDescent="0.25">
      <c r="A35" t="s">
        <v>105</v>
      </c>
      <c r="B35" t="s">
        <v>378</v>
      </c>
      <c r="E35" s="152" t="str">
        <f>VLOOKUP(A35,Kleurtabel!$A$2:$F$822,6,FALSE)</f>
        <v>#80CCFFCC</v>
      </c>
      <c r="F35" s="125">
        <f t="shared" si="0"/>
        <v>15</v>
      </c>
      <c r="G35" s="124">
        <f t="shared" si="0"/>
        <v>18</v>
      </c>
      <c r="H35" s="130">
        <f t="shared" si="45"/>
        <v>2.7992109794991871</v>
      </c>
      <c r="I35" s="131">
        <f t="shared" si="46"/>
        <v>5.5416886563511993E-2</v>
      </c>
      <c r="J35" s="130">
        <f t="shared" si="1"/>
        <v>16.431676725154979</v>
      </c>
      <c r="K35" s="133">
        <f t="shared" si="2"/>
        <v>16.456927203347885</v>
      </c>
      <c r="L35" s="133">
        <f t="shared" si="3"/>
        <v>0.9126923049410256</v>
      </c>
      <c r="M35" s="134">
        <f t="shared" si="47"/>
        <v>5.545946054591247E-2</v>
      </c>
      <c r="N35" s="125">
        <f t="shared" si="4"/>
        <v>15</v>
      </c>
      <c r="O35" s="124">
        <f t="shared" si="4"/>
        <v>18</v>
      </c>
      <c r="P35" s="130">
        <f t="shared" si="48"/>
        <v>2.7992109794991871</v>
      </c>
      <c r="Q35" s="131">
        <f t="shared" si="49"/>
        <v>5.5416886563511993E-2</v>
      </c>
      <c r="R35" s="132">
        <f t="shared" si="50"/>
        <v>16.431676725154979</v>
      </c>
      <c r="S35" s="132">
        <f t="shared" si="5"/>
        <v>16.456927203347885</v>
      </c>
      <c r="T35" s="133">
        <f t="shared" si="6"/>
        <v>0.9126923049410256</v>
      </c>
      <c r="U35" s="134">
        <f t="shared" si="51"/>
        <v>5.545946054591247E-2</v>
      </c>
      <c r="V35" s="155">
        <f t="shared" si="7"/>
        <v>30.95</v>
      </c>
      <c r="W35" s="140">
        <f t="shared" si="52"/>
        <v>33.072180669348825</v>
      </c>
      <c r="X35" s="130">
        <f t="shared" si="8"/>
        <v>3.4655327324823864</v>
      </c>
      <c r="Y35" s="131">
        <f t="shared" si="9"/>
        <v>2.015789261506451E-2</v>
      </c>
      <c r="Z35" s="130">
        <f t="shared" si="10"/>
        <v>31.993499210251233</v>
      </c>
      <c r="AA35" s="128">
        <f t="shared" si="11"/>
        <v>32</v>
      </c>
      <c r="AB35" s="133">
        <f t="shared" si="12"/>
        <v>0.64511809699671463</v>
      </c>
      <c r="AC35" s="134">
        <f t="shared" si="13"/>
        <v>2.0159940531147332E-2</v>
      </c>
      <c r="AD35" s="125">
        <f t="shared" si="14"/>
        <v>0.25900000000000001</v>
      </c>
      <c r="AE35" s="140">
        <f t="shared" si="53"/>
        <v>0.26502181438571959</v>
      </c>
      <c r="AF35" s="130">
        <f t="shared" si="15"/>
        <v>-1.3394351776149065</v>
      </c>
      <c r="AG35" s="131">
        <f t="shared" si="16"/>
        <v>6.9860423511809433E-3</v>
      </c>
      <c r="AH35" s="130">
        <f t="shared" si="17"/>
        <v>0.26199360665081384</v>
      </c>
      <c r="AI35" s="128">
        <f t="shared" si="18"/>
        <v>0.26200000000000001</v>
      </c>
      <c r="AJ35" s="133">
        <f t="shared" si="19"/>
        <v>1.8303654286145486E-3</v>
      </c>
      <c r="AK35" s="134">
        <f t="shared" si="20"/>
        <v>6.9861275901318643E-3</v>
      </c>
      <c r="AL35" s="125">
        <f t="shared" si="21"/>
        <v>0.89200000000000002</v>
      </c>
      <c r="AM35" s="140">
        <f t="shared" si="54"/>
        <v>0.90804508506493276</v>
      </c>
      <c r="AN35" s="130">
        <f t="shared" si="22"/>
        <v>-0.10537519743021823</v>
      </c>
      <c r="AO35" s="131">
        <f t="shared" si="23"/>
        <v>5.4188139646866862E-3</v>
      </c>
      <c r="AP35" s="130">
        <f t="shared" si="24"/>
        <v>0.89998678650184627</v>
      </c>
      <c r="AQ35" s="128">
        <f t="shared" si="25"/>
        <v>0.9</v>
      </c>
      <c r="AR35" s="133">
        <f t="shared" si="26"/>
        <v>4.8769683694481559E-3</v>
      </c>
      <c r="AS35" s="134">
        <f t="shared" si="27"/>
        <v>5.4188537438312843E-3</v>
      </c>
      <c r="AT35" s="125">
        <f t="shared" si="28"/>
        <v>28.42</v>
      </c>
      <c r="AU35" s="140">
        <f t="shared" si="55"/>
        <v>75.763974700376622</v>
      </c>
      <c r="AV35" s="130">
        <f t="shared" si="29"/>
        <v>3.8373580172683415</v>
      </c>
      <c r="AW35" s="131">
        <f t="shared" si="30"/>
        <v>0.29803337057713475</v>
      </c>
      <c r="AX35" s="130">
        <f t="shared" si="31"/>
        <v>46.402717172431885</v>
      </c>
      <c r="AY35" s="128">
        <f t="shared" si="32"/>
        <v>48.51</v>
      </c>
      <c r="AZ35" s="133">
        <f t="shared" si="33"/>
        <v>14.784664711090059</v>
      </c>
      <c r="BA35" s="134">
        <f t="shared" si="34"/>
        <v>0.30477560731993525</v>
      </c>
      <c r="BB35" s="125">
        <f t="shared" si="35"/>
        <v>8</v>
      </c>
      <c r="BC35" s="140">
        <f t="shared" si="56"/>
        <v>7.9999999999999982</v>
      </c>
      <c r="BD35" s="130">
        <f t="shared" si="36"/>
        <v>2.0794415416798357</v>
      </c>
      <c r="BE35" s="131">
        <f t="shared" si="37"/>
        <v>0</v>
      </c>
      <c r="BF35" s="130">
        <f t="shared" si="38"/>
        <v>7.9999999999999982</v>
      </c>
      <c r="BG35" s="143">
        <f t="shared" si="57"/>
        <v>8</v>
      </c>
      <c r="BH35" s="133">
        <f t="shared" si="39"/>
        <v>0</v>
      </c>
      <c r="BI35" s="134">
        <f t="shared" si="40"/>
        <v>0</v>
      </c>
      <c r="BJ35" s="125">
        <f t="shared" si="41"/>
        <v>40</v>
      </c>
      <c r="BK35" s="124">
        <f t="shared" si="41"/>
        <v>90</v>
      </c>
      <c r="BL35" s="130">
        <f t="shared" si="58"/>
        <v>4.0943445622221004</v>
      </c>
      <c r="BM35" s="131">
        <f t="shared" si="59"/>
        <v>0.24648334839402089</v>
      </c>
      <c r="BN35" s="130">
        <f t="shared" si="42"/>
        <v>59.999999999999986</v>
      </c>
      <c r="BO35" s="133">
        <f t="shared" si="43"/>
        <v>61.850586582081121</v>
      </c>
      <c r="BP35" s="133">
        <f t="shared" si="44"/>
        <v>15.47964829042014</v>
      </c>
      <c r="BQ35" s="134">
        <f t="shared" si="60"/>
        <v>0.25027488251671304</v>
      </c>
    </row>
    <row r="36" spans="1:69" x14ac:dyDescent="0.25">
      <c r="A36" t="s">
        <v>390</v>
      </c>
      <c r="B36" t="s">
        <v>378</v>
      </c>
      <c r="E36" s="152" t="e">
        <f>VLOOKUP(A36,Kleurtabel!$A$2:$F$822,6,FALSE)</f>
        <v>#N/A</v>
      </c>
      <c r="F36" s="125">
        <f>F37</f>
        <v>18</v>
      </c>
      <c r="G36" s="125">
        <f t="shared" ref="G36:BQ36" si="115">G37</f>
        <v>19</v>
      </c>
      <c r="H36" s="125">
        <f t="shared" si="115"/>
        <v>2.9174053685313024</v>
      </c>
      <c r="I36" s="125">
        <f t="shared" si="115"/>
        <v>1.6433805857226671E-2</v>
      </c>
      <c r="J36" s="125">
        <f t="shared" si="115"/>
        <v>18.493242008906925</v>
      </c>
      <c r="K36" s="125">
        <f t="shared" si="115"/>
        <v>18.495739412224619</v>
      </c>
      <c r="L36" s="125">
        <f t="shared" si="115"/>
        <v>0.30397591414727615</v>
      </c>
      <c r="M36" s="125">
        <f t="shared" si="115"/>
        <v>1.6434915489043144E-2</v>
      </c>
      <c r="N36" s="125">
        <f t="shared" si="115"/>
        <v>20</v>
      </c>
      <c r="O36" s="125">
        <f t="shared" si="115"/>
        <v>21</v>
      </c>
      <c r="P36" s="125">
        <f t="shared" si="115"/>
        <v>3.0201273556387069</v>
      </c>
      <c r="Q36" s="125">
        <f t="shared" si="115"/>
        <v>1.4829837133566006E-2</v>
      </c>
      <c r="R36" s="125">
        <f t="shared" si="115"/>
        <v>20.493901531919196</v>
      </c>
      <c r="S36" s="125">
        <f t="shared" si="115"/>
        <v>20.496155206937743</v>
      </c>
      <c r="T36" s="125">
        <f t="shared" si="115"/>
        <v>0.30397135608439629</v>
      </c>
      <c r="U36" s="125">
        <f t="shared" si="115"/>
        <v>1.4830652530456298E-2</v>
      </c>
      <c r="V36" s="125">
        <f t="shared" si="115"/>
        <v>30.95</v>
      </c>
      <c r="W36" s="125">
        <f t="shared" si="115"/>
        <v>33.072180669348825</v>
      </c>
      <c r="X36" s="125">
        <f t="shared" si="115"/>
        <v>3.4655327324823864</v>
      </c>
      <c r="Y36" s="125">
        <f t="shared" si="115"/>
        <v>2.015789261506451E-2</v>
      </c>
      <c r="Z36" s="125">
        <f t="shared" si="115"/>
        <v>31.993499210251233</v>
      </c>
      <c r="AA36" s="125">
        <f t="shared" si="115"/>
        <v>32</v>
      </c>
      <c r="AB36" s="125">
        <f t="shared" si="115"/>
        <v>0.64511809699671463</v>
      </c>
      <c r="AC36" s="125">
        <f t="shared" si="115"/>
        <v>2.0159940531147332E-2</v>
      </c>
      <c r="AD36" s="125" t="str">
        <f t="shared" si="115"/>
        <v>-</v>
      </c>
      <c r="AE36" s="125" t="str">
        <f t="shared" si="115"/>
        <v>-</v>
      </c>
      <c r="AF36" s="125" t="str">
        <f t="shared" si="115"/>
        <v>-</v>
      </c>
      <c r="AG36" s="125" t="str">
        <f t="shared" si="115"/>
        <v>-</v>
      </c>
      <c r="AH36" s="125" t="str">
        <f t="shared" si="115"/>
        <v>-</v>
      </c>
      <c r="AI36" s="125" t="str">
        <f t="shared" si="115"/>
        <v>-</v>
      </c>
      <c r="AJ36" s="125" t="str">
        <f t="shared" si="115"/>
        <v>-</v>
      </c>
      <c r="AK36" s="125" t="str">
        <f t="shared" si="115"/>
        <v>-</v>
      </c>
      <c r="AL36" s="125" t="str">
        <f t="shared" si="115"/>
        <v>-</v>
      </c>
      <c r="AM36" s="125" t="str">
        <f t="shared" si="115"/>
        <v>-</v>
      </c>
      <c r="AN36" s="125" t="str">
        <f t="shared" si="115"/>
        <v>-</v>
      </c>
      <c r="AO36" s="125" t="str">
        <f t="shared" si="115"/>
        <v>-</v>
      </c>
      <c r="AP36" s="125" t="str">
        <f t="shared" si="115"/>
        <v>-</v>
      </c>
      <c r="AQ36" s="125" t="str">
        <f t="shared" si="115"/>
        <v>-</v>
      </c>
      <c r="AR36" s="125" t="str">
        <f t="shared" si="115"/>
        <v>-</v>
      </c>
      <c r="AS36" s="125" t="str">
        <f t="shared" si="115"/>
        <v>-</v>
      </c>
      <c r="AT36" s="125" t="str">
        <f t="shared" si="115"/>
        <v>-</v>
      </c>
      <c r="AU36" s="125" t="str">
        <f t="shared" si="115"/>
        <v>-</v>
      </c>
      <c r="AV36" s="125" t="str">
        <f t="shared" si="115"/>
        <v>-</v>
      </c>
      <c r="AW36" s="125" t="str">
        <f t="shared" si="115"/>
        <v>-</v>
      </c>
      <c r="AX36" s="125" t="str">
        <f t="shared" si="115"/>
        <v>-</v>
      </c>
      <c r="AY36" s="125" t="str">
        <f t="shared" si="115"/>
        <v>-</v>
      </c>
      <c r="AZ36" s="125" t="str">
        <f t="shared" si="115"/>
        <v>-</v>
      </c>
      <c r="BA36" s="125" t="str">
        <f t="shared" si="115"/>
        <v>-</v>
      </c>
      <c r="BB36" s="125" t="str">
        <f t="shared" si="115"/>
        <v>-</v>
      </c>
      <c r="BC36" s="125" t="str">
        <f t="shared" si="115"/>
        <v>-</v>
      </c>
      <c r="BD36" s="125" t="str">
        <f t="shared" si="115"/>
        <v>-</v>
      </c>
      <c r="BE36" s="125" t="str">
        <f t="shared" si="115"/>
        <v>-</v>
      </c>
      <c r="BF36" s="125" t="str">
        <f t="shared" si="115"/>
        <v>-</v>
      </c>
      <c r="BG36" s="125" t="str">
        <f t="shared" si="115"/>
        <v>-</v>
      </c>
      <c r="BH36" s="125" t="str">
        <f t="shared" si="115"/>
        <v>-</v>
      </c>
      <c r="BI36" s="125" t="str">
        <f t="shared" si="115"/>
        <v>-</v>
      </c>
      <c r="BJ36" s="125">
        <f t="shared" si="115"/>
        <v>103</v>
      </c>
      <c r="BK36" s="125">
        <f t="shared" si="115"/>
        <v>103</v>
      </c>
      <c r="BL36" s="125">
        <f t="shared" si="115"/>
        <v>4.6347289882296359</v>
      </c>
      <c r="BM36" s="125">
        <f t="shared" si="115"/>
        <v>0</v>
      </c>
      <c r="BN36" s="125">
        <f t="shared" si="115"/>
        <v>103.00000000000001</v>
      </c>
      <c r="BO36" s="125">
        <f t="shared" si="115"/>
        <v>103.00000000000001</v>
      </c>
      <c r="BP36" s="125">
        <f t="shared" si="115"/>
        <v>0</v>
      </c>
      <c r="BQ36" s="125">
        <f t="shared" si="115"/>
        <v>0</v>
      </c>
    </row>
    <row r="37" spans="1:69" x14ac:dyDescent="0.25">
      <c r="A37" t="s">
        <v>108</v>
      </c>
      <c r="B37" t="s">
        <v>378</v>
      </c>
      <c r="E37" s="152" t="str">
        <f>VLOOKUP(A37,Kleurtabel!$A$2:$F$822,6,FALSE)</f>
        <v>#80CCFFCC</v>
      </c>
      <c r="F37" s="125">
        <f t="shared" ref="F37:G57" si="116">VLOOKUP($A37,TABEL,F$10,FALSE)</f>
        <v>18</v>
      </c>
      <c r="G37" s="124">
        <f t="shared" si="116"/>
        <v>19</v>
      </c>
      <c r="H37" s="130">
        <f t="shared" si="45"/>
        <v>2.9174053685313024</v>
      </c>
      <c r="I37" s="131">
        <f t="shared" si="46"/>
        <v>1.6433805857226671E-2</v>
      </c>
      <c r="J37" s="130">
        <f t="shared" si="1"/>
        <v>18.493242008906925</v>
      </c>
      <c r="K37" s="133">
        <f t="shared" si="2"/>
        <v>18.495739412224619</v>
      </c>
      <c r="L37" s="133">
        <f t="shared" si="3"/>
        <v>0.30397591414727615</v>
      </c>
      <c r="M37" s="134">
        <f t="shared" si="47"/>
        <v>1.6434915489043144E-2</v>
      </c>
      <c r="N37" s="125">
        <f t="shared" ref="N37:O57" si="117">VLOOKUP($A37,TABEL,N$10,FALSE)</f>
        <v>20</v>
      </c>
      <c r="O37" s="124">
        <f t="shared" si="117"/>
        <v>21</v>
      </c>
      <c r="P37" s="130">
        <f t="shared" si="48"/>
        <v>3.0201273556387069</v>
      </c>
      <c r="Q37" s="131">
        <f t="shared" si="49"/>
        <v>1.4829837133566006E-2</v>
      </c>
      <c r="R37" s="132">
        <f t="shared" si="50"/>
        <v>20.493901531919196</v>
      </c>
      <c r="S37" s="132">
        <f t="shared" si="5"/>
        <v>20.496155206937743</v>
      </c>
      <c r="T37" s="133">
        <f t="shared" si="6"/>
        <v>0.30397135608439629</v>
      </c>
      <c r="U37" s="134">
        <f t="shared" si="51"/>
        <v>1.4830652530456298E-2</v>
      </c>
      <c r="V37" s="155">
        <f t="shared" si="7"/>
        <v>30.95</v>
      </c>
      <c r="W37" s="140">
        <f t="shared" si="52"/>
        <v>33.072180669348825</v>
      </c>
      <c r="X37" s="130">
        <f t="shared" si="8"/>
        <v>3.4655327324823864</v>
      </c>
      <c r="Y37" s="131">
        <f t="shared" si="9"/>
        <v>2.015789261506451E-2</v>
      </c>
      <c r="Z37" s="130">
        <f t="shared" si="10"/>
        <v>31.993499210251233</v>
      </c>
      <c r="AA37" s="128">
        <f t="shared" si="11"/>
        <v>32</v>
      </c>
      <c r="AB37" s="133">
        <f t="shared" si="12"/>
        <v>0.64511809699671463</v>
      </c>
      <c r="AC37" s="134">
        <f t="shared" si="13"/>
        <v>2.0159940531147332E-2</v>
      </c>
      <c r="AD37" s="125" t="str">
        <f t="shared" si="14"/>
        <v>-</v>
      </c>
      <c r="AE37" s="140" t="str">
        <f t="shared" si="53"/>
        <v>-</v>
      </c>
      <c r="AF37" s="130" t="str">
        <f t="shared" si="15"/>
        <v>-</v>
      </c>
      <c r="AG37" s="131" t="str">
        <f t="shared" si="16"/>
        <v>-</v>
      </c>
      <c r="AH37" s="130" t="str">
        <f t="shared" si="17"/>
        <v>-</v>
      </c>
      <c r="AI37" s="128" t="str">
        <f t="shared" si="18"/>
        <v>-</v>
      </c>
      <c r="AJ37" s="133" t="str">
        <f t="shared" si="19"/>
        <v>-</v>
      </c>
      <c r="AK37" s="134" t="str">
        <f t="shared" si="20"/>
        <v>-</v>
      </c>
      <c r="AL37" s="125" t="str">
        <f t="shared" si="21"/>
        <v>-</v>
      </c>
      <c r="AM37" s="140" t="str">
        <f t="shared" si="54"/>
        <v>-</v>
      </c>
      <c r="AN37" s="130" t="str">
        <f t="shared" si="22"/>
        <v>-</v>
      </c>
      <c r="AO37" s="131" t="str">
        <f t="shared" si="23"/>
        <v>-</v>
      </c>
      <c r="AP37" s="130" t="str">
        <f t="shared" si="24"/>
        <v>-</v>
      </c>
      <c r="AQ37" s="128" t="str">
        <f t="shared" si="25"/>
        <v>-</v>
      </c>
      <c r="AR37" s="133" t="str">
        <f t="shared" si="26"/>
        <v>-</v>
      </c>
      <c r="AS37" s="134" t="str">
        <f t="shared" si="27"/>
        <v>-</v>
      </c>
      <c r="AT37" s="125" t="str">
        <f t="shared" si="28"/>
        <v>-</v>
      </c>
      <c r="AU37" s="140" t="str">
        <f t="shared" si="55"/>
        <v>-</v>
      </c>
      <c r="AV37" s="130" t="str">
        <f t="shared" si="29"/>
        <v>-</v>
      </c>
      <c r="AW37" s="131" t="str">
        <f t="shared" si="30"/>
        <v>-</v>
      </c>
      <c r="AX37" s="130" t="str">
        <f t="shared" si="31"/>
        <v>-</v>
      </c>
      <c r="AY37" s="128" t="str">
        <f t="shared" si="32"/>
        <v>-</v>
      </c>
      <c r="AZ37" s="133" t="str">
        <f t="shared" si="33"/>
        <v>-</v>
      </c>
      <c r="BA37" s="134" t="str">
        <f t="shared" si="34"/>
        <v>-</v>
      </c>
      <c r="BB37" s="125" t="str">
        <f t="shared" si="35"/>
        <v>-</v>
      </c>
      <c r="BC37" s="140" t="str">
        <f t="shared" si="56"/>
        <v>-</v>
      </c>
      <c r="BD37" s="130" t="str">
        <f t="shared" si="36"/>
        <v>-</v>
      </c>
      <c r="BE37" s="131" t="str">
        <f t="shared" si="37"/>
        <v>-</v>
      </c>
      <c r="BF37" s="130" t="str">
        <f t="shared" si="38"/>
        <v>-</v>
      </c>
      <c r="BG37" s="143" t="str">
        <f t="shared" si="57"/>
        <v>-</v>
      </c>
      <c r="BH37" s="133" t="str">
        <f t="shared" si="39"/>
        <v>-</v>
      </c>
      <c r="BI37" s="134" t="str">
        <f t="shared" si="40"/>
        <v>-</v>
      </c>
      <c r="BJ37" s="125">
        <f t="shared" ref="BJ37:BK57" si="118">VLOOKUP($A37,TABEL,BJ$10,FALSE)</f>
        <v>103</v>
      </c>
      <c r="BK37" s="124">
        <f t="shared" si="118"/>
        <v>103</v>
      </c>
      <c r="BL37" s="130">
        <f t="shared" si="58"/>
        <v>4.6347289882296359</v>
      </c>
      <c r="BM37" s="131">
        <f t="shared" si="59"/>
        <v>0</v>
      </c>
      <c r="BN37" s="130">
        <f t="shared" si="42"/>
        <v>103.00000000000001</v>
      </c>
      <c r="BO37" s="133">
        <f t="shared" si="43"/>
        <v>103.00000000000001</v>
      </c>
      <c r="BP37" s="133">
        <f t="shared" si="44"/>
        <v>0</v>
      </c>
      <c r="BQ37" s="134">
        <f t="shared" si="60"/>
        <v>0</v>
      </c>
    </row>
    <row r="38" spans="1:69" x14ac:dyDescent="0.25">
      <c r="A38" t="s">
        <v>109</v>
      </c>
      <c r="B38" t="s">
        <v>380</v>
      </c>
      <c r="E38" s="152" t="str">
        <f>VLOOKUP(A38,Kleurtabel!$A$2:$F$822,6,FALSE)</f>
        <v>#8000FF00</v>
      </c>
      <c r="F38" s="125">
        <f t="shared" si="116"/>
        <v>14</v>
      </c>
      <c r="G38" s="124">
        <f t="shared" si="116"/>
        <v>17</v>
      </c>
      <c r="H38" s="130">
        <f t="shared" si="45"/>
        <v>2.7361353368357371</v>
      </c>
      <c r="I38" s="131">
        <f t="shared" si="46"/>
        <v>5.9013986152266794E-2</v>
      </c>
      <c r="J38" s="130">
        <f t="shared" si="1"/>
        <v>15.427248620541508</v>
      </c>
      <c r="K38" s="133">
        <f t="shared" si="2"/>
        <v>15.454135881517129</v>
      </c>
      <c r="L38" s="133">
        <f t="shared" si="3"/>
        <v>0.91280479050996322</v>
      </c>
      <c r="M38" s="134">
        <f t="shared" si="47"/>
        <v>5.9065404724547653E-2</v>
      </c>
      <c r="N38" s="125">
        <f t="shared" si="117"/>
        <v>14</v>
      </c>
      <c r="O38" s="124">
        <f t="shared" si="117"/>
        <v>17</v>
      </c>
      <c r="P38" s="130">
        <f t="shared" si="48"/>
        <v>2.7361353368357371</v>
      </c>
      <c r="Q38" s="131">
        <f t="shared" si="49"/>
        <v>5.9013986152266794E-2</v>
      </c>
      <c r="R38" s="132">
        <f t="shared" si="50"/>
        <v>15.427248620541508</v>
      </c>
      <c r="S38" s="132">
        <f t="shared" si="5"/>
        <v>15.454135881517129</v>
      </c>
      <c r="T38" s="133">
        <f t="shared" si="6"/>
        <v>0.91280479050996322</v>
      </c>
      <c r="U38" s="134">
        <f t="shared" si="51"/>
        <v>5.9065404724547653E-2</v>
      </c>
      <c r="V38" s="155">
        <f t="shared" si="7"/>
        <v>38</v>
      </c>
      <c r="W38" s="140">
        <f t="shared" si="52"/>
        <v>46.255590667338396</v>
      </c>
      <c r="X38" s="130">
        <f t="shared" si="8"/>
        <v>3.7358842478366552</v>
      </c>
      <c r="Y38" s="131">
        <f t="shared" si="9"/>
        <v>5.975567666277759E-2</v>
      </c>
      <c r="Z38" s="130">
        <f t="shared" si="10"/>
        <v>41.925081339919423</v>
      </c>
      <c r="AA38" s="128">
        <f t="shared" si="11"/>
        <v>42</v>
      </c>
      <c r="AB38" s="133">
        <f t="shared" si="12"/>
        <v>2.5119804937796721</v>
      </c>
      <c r="AC38" s="134">
        <f t="shared" si="13"/>
        <v>5.9809059375706478E-2</v>
      </c>
      <c r="AD38" s="125">
        <f t="shared" si="14"/>
        <v>0.28100000000000003</v>
      </c>
      <c r="AE38" s="140">
        <f t="shared" si="53"/>
        <v>0.29917961173681679</v>
      </c>
      <c r="AF38" s="130">
        <f t="shared" si="15"/>
        <v>-1.2380558937214354</v>
      </c>
      <c r="AG38" s="131">
        <f t="shared" si="16"/>
        <v>1.9054538557419898E-2</v>
      </c>
      <c r="AH38" s="130">
        <f t="shared" si="17"/>
        <v>0.28994735883957545</v>
      </c>
      <c r="AI38" s="128">
        <f t="shared" si="18"/>
        <v>0.28999999999999998</v>
      </c>
      <c r="AJ38" s="133">
        <f t="shared" si="19"/>
        <v>5.52631779162778E-3</v>
      </c>
      <c r="AK38" s="134">
        <f t="shared" si="20"/>
        <v>1.9056268246992348E-2</v>
      </c>
      <c r="AL38" s="125">
        <f t="shared" si="21"/>
        <v>0.89200000000000002</v>
      </c>
      <c r="AM38" s="140">
        <f t="shared" si="54"/>
        <v>0.90804508506493276</v>
      </c>
      <c r="AN38" s="130">
        <f t="shared" si="22"/>
        <v>-0.10537519743021823</v>
      </c>
      <c r="AO38" s="131">
        <f t="shared" si="23"/>
        <v>5.4188139646866862E-3</v>
      </c>
      <c r="AP38" s="130">
        <f t="shared" si="24"/>
        <v>0.89998678650184627</v>
      </c>
      <c r="AQ38" s="128">
        <f t="shared" si="25"/>
        <v>0.9</v>
      </c>
      <c r="AR38" s="133">
        <f t="shared" si="26"/>
        <v>4.8769683694481559E-3</v>
      </c>
      <c r="AS38" s="134">
        <f t="shared" si="27"/>
        <v>5.4188537438312843E-3</v>
      </c>
      <c r="AT38" s="125">
        <f t="shared" si="28"/>
        <v>11.57</v>
      </c>
      <c r="AU38" s="140">
        <f t="shared" si="55"/>
        <v>36.715039080961702</v>
      </c>
      <c r="AV38" s="130">
        <f t="shared" si="29"/>
        <v>3.0258009982749376</v>
      </c>
      <c r="AW38" s="131">
        <f t="shared" si="30"/>
        <v>0.35099419882635408</v>
      </c>
      <c r="AX38" s="130">
        <f t="shared" si="31"/>
        <v>20.610507081746601</v>
      </c>
      <c r="AY38" s="128">
        <f t="shared" si="32"/>
        <v>21.92</v>
      </c>
      <c r="AZ38" s="133">
        <f t="shared" si="33"/>
        <v>7.9369515704755926</v>
      </c>
      <c r="BA38" s="134">
        <f t="shared" si="34"/>
        <v>0.36208720668228067</v>
      </c>
      <c r="BB38" s="125">
        <f t="shared" si="35"/>
        <v>6</v>
      </c>
      <c r="BC38" s="140">
        <f t="shared" si="56"/>
        <v>6</v>
      </c>
      <c r="BD38" s="130">
        <f t="shared" si="36"/>
        <v>1.791759469228055</v>
      </c>
      <c r="BE38" s="131">
        <f t="shared" si="37"/>
        <v>0</v>
      </c>
      <c r="BF38" s="130">
        <f t="shared" si="38"/>
        <v>6</v>
      </c>
      <c r="BG38" s="143">
        <f t="shared" si="57"/>
        <v>6</v>
      </c>
      <c r="BH38" s="133">
        <f t="shared" si="39"/>
        <v>0</v>
      </c>
      <c r="BI38" s="134">
        <f t="shared" si="40"/>
        <v>0</v>
      </c>
      <c r="BJ38" s="125">
        <f t="shared" si="118"/>
        <v>40</v>
      </c>
      <c r="BK38" s="124">
        <f t="shared" si="118"/>
        <v>90</v>
      </c>
      <c r="BL38" s="130">
        <f t="shared" si="58"/>
        <v>4.0943445622221004</v>
      </c>
      <c r="BM38" s="131">
        <f t="shared" si="59"/>
        <v>0.24648334839402089</v>
      </c>
      <c r="BN38" s="130">
        <f t="shared" si="42"/>
        <v>59.999999999999986</v>
      </c>
      <c r="BO38" s="133">
        <f t="shared" si="43"/>
        <v>61.850586582081121</v>
      </c>
      <c r="BP38" s="133">
        <f t="shared" si="44"/>
        <v>15.47964829042014</v>
      </c>
      <c r="BQ38" s="134">
        <f t="shared" si="60"/>
        <v>0.25027488251671304</v>
      </c>
    </row>
    <row r="39" spans="1:69" x14ac:dyDescent="0.25">
      <c r="A39" t="s">
        <v>113</v>
      </c>
      <c r="B39" t="s">
        <v>380</v>
      </c>
      <c r="E39" s="152" t="str">
        <f>VLOOKUP(A39,Kleurtabel!$A$2:$F$822,6,FALSE)</f>
        <v>#8000FF00</v>
      </c>
      <c r="F39" s="125">
        <f t="shared" si="116"/>
        <v>18</v>
      </c>
      <c r="G39" s="124">
        <f t="shared" si="116"/>
        <v>19</v>
      </c>
      <c r="H39" s="130">
        <f t="shared" si="45"/>
        <v>2.9174053685313024</v>
      </c>
      <c r="I39" s="131">
        <f t="shared" si="46"/>
        <v>1.6433805857226671E-2</v>
      </c>
      <c r="J39" s="130">
        <f t="shared" si="1"/>
        <v>18.493242008906925</v>
      </c>
      <c r="K39" s="133">
        <f t="shared" si="2"/>
        <v>18.495739412224619</v>
      </c>
      <c r="L39" s="133">
        <f t="shared" si="3"/>
        <v>0.30397591414727615</v>
      </c>
      <c r="M39" s="134">
        <f t="shared" si="47"/>
        <v>1.6434915489043144E-2</v>
      </c>
      <c r="N39" s="125">
        <f t="shared" si="117"/>
        <v>20</v>
      </c>
      <c r="O39" s="124">
        <f t="shared" si="117"/>
        <v>21</v>
      </c>
      <c r="P39" s="130">
        <f t="shared" si="48"/>
        <v>3.0201273556387069</v>
      </c>
      <c r="Q39" s="131">
        <f t="shared" si="49"/>
        <v>1.4829837133566006E-2</v>
      </c>
      <c r="R39" s="132">
        <f t="shared" si="50"/>
        <v>20.493901531919196</v>
      </c>
      <c r="S39" s="132">
        <f t="shared" si="5"/>
        <v>20.496155206937743</v>
      </c>
      <c r="T39" s="133">
        <f t="shared" si="6"/>
        <v>0.30397135608439629</v>
      </c>
      <c r="U39" s="134">
        <f t="shared" si="51"/>
        <v>1.4830652530456298E-2</v>
      </c>
      <c r="V39" s="155">
        <f t="shared" si="7"/>
        <v>30.95</v>
      </c>
      <c r="W39" s="140">
        <f t="shared" si="52"/>
        <v>33.072180669348825</v>
      </c>
      <c r="X39" s="130">
        <f t="shared" si="8"/>
        <v>3.4655327324823864</v>
      </c>
      <c r="Y39" s="131">
        <f t="shared" si="9"/>
        <v>2.015789261506451E-2</v>
      </c>
      <c r="Z39" s="130">
        <f t="shared" si="10"/>
        <v>31.993499210251233</v>
      </c>
      <c r="AA39" s="128">
        <f t="shared" si="11"/>
        <v>32</v>
      </c>
      <c r="AB39" s="133">
        <f t="shared" si="12"/>
        <v>0.64511809699671463</v>
      </c>
      <c r="AC39" s="134">
        <f t="shared" si="13"/>
        <v>2.0159940531147332E-2</v>
      </c>
      <c r="AD39" s="125" t="str">
        <f t="shared" si="14"/>
        <v>-</v>
      </c>
      <c r="AE39" s="140" t="str">
        <f t="shared" si="53"/>
        <v>-</v>
      </c>
      <c r="AF39" s="130" t="str">
        <f t="shared" si="15"/>
        <v>-</v>
      </c>
      <c r="AG39" s="131" t="str">
        <f t="shared" si="16"/>
        <v>-</v>
      </c>
      <c r="AH39" s="130" t="str">
        <f t="shared" si="17"/>
        <v>-</v>
      </c>
      <c r="AI39" s="128" t="str">
        <f t="shared" si="18"/>
        <v>-</v>
      </c>
      <c r="AJ39" s="133" t="str">
        <f t="shared" si="19"/>
        <v>-</v>
      </c>
      <c r="AK39" s="134" t="str">
        <f t="shared" si="20"/>
        <v>-</v>
      </c>
      <c r="AL39" s="125" t="str">
        <f t="shared" si="21"/>
        <v>-</v>
      </c>
      <c r="AM39" s="140" t="str">
        <f t="shared" si="54"/>
        <v>-</v>
      </c>
      <c r="AN39" s="130" t="str">
        <f t="shared" si="22"/>
        <v>-</v>
      </c>
      <c r="AO39" s="131" t="str">
        <f t="shared" si="23"/>
        <v>-</v>
      </c>
      <c r="AP39" s="130" t="str">
        <f t="shared" si="24"/>
        <v>-</v>
      </c>
      <c r="AQ39" s="128" t="str">
        <f t="shared" si="25"/>
        <v>-</v>
      </c>
      <c r="AR39" s="133" t="str">
        <f t="shared" si="26"/>
        <v>-</v>
      </c>
      <c r="AS39" s="134" t="str">
        <f t="shared" si="27"/>
        <v>-</v>
      </c>
      <c r="AT39" s="125" t="str">
        <f t="shared" si="28"/>
        <v>-</v>
      </c>
      <c r="AU39" s="140" t="str">
        <f t="shared" si="55"/>
        <v>-</v>
      </c>
      <c r="AV39" s="130" t="str">
        <f t="shared" si="29"/>
        <v>-</v>
      </c>
      <c r="AW39" s="131" t="str">
        <f t="shared" si="30"/>
        <v>-</v>
      </c>
      <c r="AX39" s="130" t="str">
        <f t="shared" si="31"/>
        <v>-</v>
      </c>
      <c r="AY39" s="128" t="str">
        <f t="shared" si="32"/>
        <v>-</v>
      </c>
      <c r="AZ39" s="133" t="str">
        <f t="shared" si="33"/>
        <v>-</v>
      </c>
      <c r="BA39" s="134" t="str">
        <f t="shared" si="34"/>
        <v>-</v>
      </c>
      <c r="BB39" s="125" t="str">
        <f t="shared" si="35"/>
        <v>-</v>
      </c>
      <c r="BC39" s="140" t="str">
        <f t="shared" si="56"/>
        <v>-</v>
      </c>
      <c r="BD39" s="130" t="str">
        <f t="shared" si="36"/>
        <v>-</v>
      </c>
      <c r="BE39" s="131" t="str">
        <f t="shared" si="37"/>
        <v>-</v>
      </c>
      <c r="BF39" s="130" t="str">
        <f t="shared" si="38"/>
        <v>-</v>
      </c>
      <c r="BG39" s="143" t="str">
        <f t="shared" si="57"/>
        <v>-</v>
      </c>
      <c r="BH39" s="133" t="str">
        <f t="shared" si="39"/>
        <v>-</v>
      </c>
      <c r="BI39" s="134" t="str">
        <f t="shared" si="40"/>
        <v>-</v>
      </c>
      <c r="BJ39" s="125">
        <f t="shared" si="118"/>
        <v>103</v>
      </c>
      <c r="BK39" s="124">
        <f t="shared" si="118"/>
        <v>103</v>
      </c>
      <c r="BL39" s="130">
        <f t="shared" si="58"/>
        <v>4.6347289882296359</v>
      </c>
      <c r="BM39" s="131">
        <f t="shared" si="59"/>
        <v>0</v>
      </c>
      <c r="BN39" s="130">
        <f t="shared" si="42"/>
        <v>103.00000000000001</v>
      </c>
      <c r="BO39" s="133">
        <f t="shared" si="43"/>
        <v>103.00000000000001</v>
      </c>
      <c r="BP39" s="133">
        <f t="shared" si="44"/>
        <v>0</v>
      </c>
      <c r="BQ39" s="134">
        <f t="shared" si="60"/>
        <v>0</v>
      </c>
    </row>
    <row r="40" spans="1:69" x14ac:dyDescent="0.25">
      <c r="A40" t="s">
        <v>389</v>
      </c>
      <c r="B40" t="s">
        <v>379</v>
      </c>
      <c r="E40" s="152" t="e">
        <f>VLOOKUP(A40,Kleurtabel!$A$2:$F$822,6,FALSE)</f>
        <v>#N/A</v>
      </c>
      <c r="F40" s="125">
        <f>F41</f>
        <v>13</v>
      </c>
      <c r="G40" s="125">
        <f t="shared" ref="G40:BQ40" si="119">G41</f>
        <v>15</v>
      </c>
      <c r="H40" s="125">
        <f t="shared" si="119"/>
        <v>2.6364997792818734</v>
      </c>
      <c r="I40" s="125">
        <f t="shared" si="119"/>
        <v>4.3495697155219858E-2</v>
      </c>
      <c r="J40" s="125">
        <f t="shared" si="119"/>
        <v>13.964240043768941</v>
      </c>
      <c r="K40" s="125">
        <f t="shared" si="119"/>
        <v>13.977455596330634</v>
      </c>
      <c r="L40" s="125">
        <f t="shared" si="119"/>
        <v>0.60824683477754204</v>
      </c>
      <c r="M40" s="125">
        <f t="shared" si="119"/>
        <v>4.3516277378639584E-2</v>
      </c>
      <c r="N40" s="125">
        <f t="shared" si="119"/>
        <v>13</v>
      </c>
      <c r="O40" s="125">
        <f t="shared" si="119"/>
        <v>15</v>
      </c>
      <c r="P40" s="125">
        <f t="shared" si="119"/>
        <v>2.6364997792818734</v>
      </c>
      <c r="Q40" s="125">
        <f t="shared" si="119"/>
        <v>4.3495697155219858E-2</v>
      </c>
      <c r="R40" s="125">
        <f t="shared" si="119"/>
        <v>13.964240043768941</v>
      </c>
      <c r="S40" s="125">
        <f t="shared" si="119"/>
        <v>13.977455596330634</v>
      </c>
      <c r="T40" s="125">
        <f t="shared" si="119"/>
        <v>0.60824683477754204</v>
      </c>
      <c r="U40" s="125">
        <f t="shared" si="119"/>
        <v>4.3516277378639584E-2</v>
      </c>
      <c r="V40" s="125">
        <f t="shared" si="119"/>
        <v>41</v>
      </c>
      <c r="W40" s="125">
        <f t="shared" si="119"/>
        <v>51.367990279019423</v>
      </c>
      <c r="X40" s="125">
        <f t="shared" si="119"/>
        <v>3.8262936439770425</v>
      </c>
      <c r="Y40" s="125">
        <f t="shared" si="119"/>
        <v>6.8523755180993851E-2</v>
      </c>
      <c r="Z40" s="125">
        <f t="shared" si="119"/>
        <v>45.892130059954674</v>
      </c>
      <c r="AA40" s="125">
        <f t="shared" si="119"/>
        <v>46</v>
      </c>
      <c r="AB40" s="125">
        <f t="shared" si="119"/>
        <v>3.1557965273137283</v>
      </c>
      <c r="AC40" s="125">
        <f t="shared" si="119"/>
        <v>6.860427233290714E-2</v>
      </c>
      <c r="AD40" s="125">
        <f t="shared" si="119"/>
        <v>0.30599999999999999</v>
      </c>
      <c r="AE40" s="125">
        <f t="shared" si="119"/>
        <v>0.32416509461390947</v>
      </c>
      <c r="AF40" s="125">
        <f t="shared" si="119"/>
        <v>-1.155336259359617</v>
      </c>
      <c r="AG40" s="125">
        <f t="shared" si="119"/>
        <v>1.7528217428655957E-2</v>
      </c>
      <c r="AH40" s="125">
        <f t="shared" si="119"/>
        <v>0.31495161366764945</v>
      </c>
      <c r="AI40" s="125">
        <f t="shared" si="119"/>
        <v>0.315</v>
      </c>
      <c r="AJ40" s="125">
        <f t="shared" si="119"/>
        <v>5.5218126128229921E-3</v>
      </c>
      <c r="AK40" s="125">
        <f t="shared" si="119"/>
        <v>1.752956385023172E-2</v>
      </c>
      <c r="AL40" s="125">
        <f t="shared" si="119"/>
        <v>0.89100000000000001</v>
      </c>
      <c r="AM40" s="125">
        <f t="shared" si="119"/>
        <v>0.90905710104543691</v>
      </c>
      <c r="AN40" s="125">
        <f t="shared" si="119"/>
        <v>-0.10537911042859724</v>
      </c>
      <c r="AO40" s="125">
        <f t="shared" si="119"/>
        <v>6.0983228466446882E-3</v>
      </c>
      <c r="AP40" s="125">
        <f t="shared" si="119"/>
        <v>0.89998326486189961</v>
      </c>
      <c r="AQ40" s="125">
        <f t="shared" si="119"/>
        <v>0.9</v>
      </c>
      <c r="AR40" s="125">
        <f t="shared" si="119"/>
        <v>5.4885415909943875E-3</v>
      </c>
      <c r="AS40" s="125">
        <f t="shared" si="119"/>
        <v>6.0983795455493194E-3</v>
      </c>
      <c r="AT40" s="125">
        <f t="shared" si="119"/>
        <v>5.67</v>
      </c>
      <c r="AU40" s="125">
        <f t="shared" si="119"/>
        <v>38.585736192824157</v>
      </c>
      <c r="AV40" s="125">
        <f t="shared" si="119"/>
        <v>2.694035898617293</v>
      </c>
      <c r="AW40" s="125">
        <f t="shared" si="119"/>
        <v>0.58288558108062727</v>
      </c>
      <c r="AX40" s="125">
        <f t="shared" si="119"/>
        <v>14.791251610776996</v>
      </c>
      <c r="AY40" s="125">
        <f t="shared" si="119"/>
        <v>17.53</v>
      </c>
      <c r="AZ40" s="125">
        <f t="shared" si="119"/>
        <v>11.150571937682336</v>
      </c>
      <c r="BA40" s="125">
        <f t="shared" si="119"/>
        <v>0.63608510768296267</v>
      </c>
      <c r="BB40" s="125">
        <f t="shared" si="119"/>
        <v>4.0999999999999996</v>
      </c>
      <c r="BC40" s="125">
        <f t="shared" si="119"/>
        <v>4.0999999999999996</v>
      </c>
      <c r="BD40" s="125">
        <f t="shared" si="119"/>
        <v>1.410986973710262</v>
      </c>
      <c r="BE40" s="125">
        <f t="shared" si="119"/>
        <v>0</v>
      </c>
      <c r="BF40" s="125">
        <f t="shared" si="119"/>
        <v>4.0999999999999996</v>
      </c>
      <c r="BG40" s="125">
        <f t="shared" si="119"/>
        <v>4.0999999999999996</v>
      </c>
      <c r="BH40" s="125">
        <f t="shared" si="119"/>
        <v>0</v>
      </c>
      <c r="BI40" s="125">
        <f t="shared" si="119"/>
        <v>0</v>
      </c>
      <c r="BJ40" s="125">
        <f t="shared" si="119"/>
        <v>40</v>
      </c>
      <c r="BK40" s="125">
        <f t="shared" si="119"/>
        <v>90</v>
      </c>
      <c r="BL40" s="125">
        <f t="shared" si="119"/>
        <v>4.0943445622221004</v>
      </c>
      <c r="BM40" s="125">
        <f t="shared" si="119"/>
        <v>0.24648334839402089</v>
      </c>
      <c r="BN40" s="125">
        <f t="shared" si="119"/>
        <v>59.999999999999986</v>
      </c>
      <c r="BO40" s="125">
        <f t="shared" si="119"/>
        <v>61.850586582081121</v>
      </c>
      <c r="BP40" s="125">
        <f t="shared" si="119"/>
        <v>15.47964829042014</v>
      </c>
      <c r="BQ40" s="125">
        <f t="shared" si="119"/>
        <v>0.25027488251671304</v>
      </c>
    </row>
    <row r="41" spans="1:69" x14ac:dyDescent="0.25">
      <c r="A41" t="s">
        <v>115</v>
      </c>
      <c r="B41" t="s">
        <v>379</v>
      </c>
      <c r="E41" s="152" t="str">
        <f>VLOOKUP(A41,Kleurtabel!$A$2:$F$822,6,FALSE)</f>
        <v>#808E9593</v>
      </c>
      <c r="F41" s="125">
        <f t="shared" si="116"/>
        <v>13</v>
      </c>
      <c r="G41" s="124">
        <f t="shared" si="116"/>
        <v>15</v>
      </c>
      <c r="H41" s="130">
        <f t="shared" si="45"/>
        <v>2.6364997792818734</v>
      </c>
      <c r="I41" s="131">
        <f t="shared" si="46"/>
        <v>4.3495697155219858E-2</v>
      </c>
      <c r="J41" s="130">
        <f t="shared" si="1"/>
        <v>13.964240043768941</v>
      </c>
      <c r="K41" s="133">
        <f t="shared" si="2"/>
        <v>13.977455596330634</v>
      </c>
      <c r="L41" s="133">
        <f t="shared" si="3"/>
        <v>0.60824683477754204</v>
      </c>
      <c r="M41" s="134">
        <f t="shared" si="47"/>
        <v>4.3516277378639584E-2</v>
      </c>
      <c r="N41" s="125">
        <f t="shared" si="117"/>
        <v>13</v>
      </c>
      <c r="O41" s="124">
        <f t="shared" si="117"/>
        <v>15</v>
      </c>
      <c r="P41" s="130">
        <f t="shared" si="48"/>
        <v>2.6364997792818734</v>
      </c>
      <c r="Q41" s="131">
        <f t="shared" si="49"/>
        <v>4.3495697155219858E-2</v>
      </c>
      <c r="R41" s="132">
        <f t="shared" si="50"/>
        <v>13.964240043768941</v>
      </c>
      <c r="S41" s="132">
        <f t="shared" si="5"/>
        <v>13.977455596330634</v>
      </c>
      <c r="T41" s="133">
        <f t="shared" si="6"/>
        <v>0.60824683477754204</v>
      </c>
      <c r="U41" s="134">
        <f t="shared" si="51"/>
        <v>4.3516277378639584E-2</v>
      </c>
      <c r="V41" s="155">
        <f t="shared" si="7"/>
        <v>41</v>
      </c>
      <c r="W41" s="140">
        <f t="shared" si="52"/>
        <v>51.367990279019423</v>
      </c>
      <c r="X41" s="130">
        <f t="shared" si="8"/>
        <v>3.8262936439770425</v>
      </c>
      <c r="Y41" s="131">
        <f t="shared" si="9"/>
        <v>6.8523755180993851E-2</v>
      </c>
      <c r="Z41" s="130">
        <f t="shared" si="10"/>
        <v>45.892130059954674</v>
      </c>
      <c r="AA41" s="128">
        <f t="shared" si="11"/>
        <v>46</v>
      </c>
      <c r="AB41" s="133">
        <f t="shared" si="12"/>
        <v>3.1557965273137283</v>
      </c>
      <c r="AC41" s="134">
        <f t="shared" si="13"/>
        <v>6.860427233290714E-2</v>
      </c>
      <c r="AD41" s="125">
        <f t="shared" si="14"/>
        <v>0.30599999999999999</v>
      </c>
      <c r="AE41" s="140">
        <f t="shared" si="53"/>
        <v>0.32416509461390947</v>
      </c>
      <c r="AF41" s="130">
        <f t="shared" si="15"/>
        <v>-1.155336259359617</v>
      </c>
      <c r="AG41" s="131">
        <f t="shared" si="16"/>
        <v>1.7528217428655957E-2</v>
      </c>
      <c r="AH41" s="130">
        <f t="shared" si="17"/>
        <v>0.31495161366764945</v>
      </c>
      <c r="AI41" s="128">
        <f t="shared" si="18"/>
        <v>0.315</v>
      </c>
      <c r="AJ41" s="133">
        <f t="shared" si="19"/>
        <v>5.5218126128229921E-3</v>
      </c>
      <c r="AK41" s="134">
        <f t="shared" si="20"/>
        <v>1.752956385023172E-2</v>
      </c>
      <c r="AL41" s="125">
        <f t="shared" si="21"/>
        <v>0.89100000000000001</v>
      </c>
      <c r="AM41" s="140">
        <f t="shared" si="54"/>
        <v>0.90905710104543691</v>
      </c>
      <c r="AN41" s="130">
        <f t="shared" si="22"/>
        <v>-0.10537911042859724</v>
      </c>
      <c r="AO41" s="131">
        <f t="shared" si="23"/>
        <v>6.0983228466446882E-3</v>
      </c>
      <c r="AP41" s="130">
        <f t="shared" si="24"/>
        <v>0.89998326486189961</v>
      </c>
      <c r="AQ41" s="128">
        <f t="shared" si="25"/>
        <v>0.9</v>
      </c>
      <c r="AR41" s="133">
        <f t="shared" si="26"/>
        <v>5.4885415909943875E-3</v>
      </c>
      <c r="AS41" s="134">
        <f t="shared" si="27"/>
        <v>6.0983795455493194E-3</v>
      </c>
      <c r="AT41" s="125">
        <f t="shared" si="28"/>
        <v>5.67</v>
      </c>
      <c r="AU41" s="140">
        <f t="shared" si="55"/>
        <v>38.585736192824157</v>
      </c>
      <c r="AV41" s="130">
        <f t="shared" si="29"/>
        <v>2.694035898617293</v>
      </c>
      <c r="AW41" s="131">
        <f t="shared" si="30"/>
        <v>0.58288558108062727</v>
      </c>
      <c r="AX41" s="130">
        <f t="shared" si="31"/>
        <v>14.791251610776996</v>
      </c>
      <c r="AY41" s="128">
        <f t="shared" si="32"/>
        <v>17.53</v>
      </c>
      <c r="AZ41" s="133">
        <f t="shared" si="33"/>
        <v>11.150571937682336</v>
      </c>
      <c r="BA41" s="134">
        <f t="shared" si="34"/>
        <v>0.63608510768296267</v>
      </c>
      <c r="BB41" s="125">
        <f t="shared" si="35"/>
        <v>4.0999999999999996</v>
      </c>
      <c r="BC41" s="140">
        <f t="shared" si="56"/>
        <v>4.0999999999999996</v>
      </c>
      <c r="BD41" s="130">
        <f t="shared" si="36"/>
        <v>1.410986973710262</v>
      </c>
      <c r="BE41" s="131">
        <f t="shared" si="37"/>
        <v>0</v>
      </c>
      <c r="BF41" s="130">
        <f t="shared" si="38"/>
        <v>4.0999999999999996</v>
      </c>
      <c r="BG41" s="143">
        <f t="shared" si="57"/>
        <v>4.0999999999999996</v>
      </c>
      <c r="BH41" s="133">
        <f t="shared" si="39"/>
        <v>0</v>
      </c>
      <c r="BI41" s="134">
        <f t="shared" si="40"/>
        <v>0</v>
      </c>
      <c r="BJ41" s="125">
        <f t="shared" si="118"/>
        <v>40</v>
      </c>
      <c r="BK41" s="124">
        <f t="shared" si="118"/>
        <v>90</v>
      </c>
      <c r="BL41" s="130">
        <f t="shared" si="58"/>
        <v>4.0943445622221004</v>
      </c>
      <c r="BM41" s="131">
        <f t="shared" si="59"/>
        <v>0.24648334839402089</v>
      </c>
      <c r="BN41" s="130">
        <f t="shared" si="42"/>
        <v>59.999999999999986</v>
      </c>
      <c r="BO41" s="133">
        <f t="shared" si="43"/>
        <v>61.850586582081121</v>
      </c>
      <c r="BP41" s="133">
        <f t="shared" si="44"/>
        <v>15.47964829042014</v>
      </c>
      <c r="BQ41" s="134">
        <f t="shared" si="60"/>
        <v>0.25027488251671304</v>
      </c>
    </row>
    <row r="42" spans="1:69" x14ac:dyDescent="0.25">
      <c r="A42" t="s">
        <v>117</v>
      </c>
      <c r="B42" t="s">
        <v>379</v>
      </c>
      <c r="E42" s="152" t="str">
        <f>VLOOKUP(A42,Kleurtabel!$A$2:$F$822,6,FALSE)</f>
        <v>#807DA030</v>
      </c>
      <c r="F42" s="125">
        <f t="shared" si="116"/>
        <v>13</v>
      </c>
      <c r="G42" s="124">
        <f t="shared" si="116"/>
        <v>15</v>
      </c>
      <c r="H42" s="130">
        <f t="shared" si="45"/>
        <v>2.6364997792818734</v>
      </c>
      <c r="I42" s="131">
        <f t="shared" si="46"/>
        <v>4.3495697155219858E-2</v>
      </c>
      <c r="J42" s="130">
        <f t="shared" si="1"/>
        <v>13.964240043768941</v>
      </c>
      <c r="K42" s="133">
        <f t="shared" si="2"/>
        <v>13.977455596330634</v>
      </c>
      <c r="L42" s="133">
        <f t="shared" si="3"/>
        <v>0.60824683477754204</v>
      </c>
      <c r="M42" s="134">
        <f t="shared" si="47"/>
        <v>4.3516277378639584E-2</v>
      </c>
      <c r="N42" s="125">
        <f t="shared" si="117"/>
        <v>13</v>
      </c>
      <c r="O42" s="124">
        <f t="shared" si="117"/>
        <v>15</v>
      </c>
      <c r="P42" s="130">
        <f t="shared" si="48"/>
        <v>2.6364997792818734</v>
      </c>
      <c r="Q42" s="131">
        <f t="shared" si="49"/>
        <v>4.3495697155219858E-2</v>
      </c>
      <c r="R42" s="132">
        <f t="shared" si="50"/>
        <v>13.964240043768941</v>
      </c>
      <c r="S42" s="132">
        <f t="shared" si="5"/>
        <v>13.977455596330634</v>
      </c>
      <c r="T42" s="133">
        <f t="shared" si="6"/>
        <v>0.60824683477754204</v>
      </c>
      <c r="U42" s="134">
        <f t="shared" si="51"/>
        <v>4.3516277378639584E-2</v>
      </c>
      <c r="V42" s="155">
        <f t="shared" si="7"/>
        <v>41</v>
      </c>
      <c r="W42" s="140">
        <f t="shared" si="52"/>
        <v>51.367990279019423</v>
      </c>
      <c r="X42" s="130">
        <f t="shared" si="8"/>
        <v>3.8262936439770425</v>
      </c>
      <c r="Y42" s="131">
        <f t="shared" si="9"/>
        <v>6.8523755180993851E-2</v>
      </c>
      <c r="Z42" s="130">
        <f t="shared" si="10"/>
        <v>45.892130059954674</v>
      </c>
      <c r="AA42" s="128">
        <f t="shared" si="11"/>
        <v>46</v>
      </c>
      <c r="AB42" s="133">
        <f t="shared" si="12"/>
        <v>3.1557965273137283</v>
      </c>
      <c r="AC42" s="134">
        <f t="shared" si="13"/>
        <v>6.860427233290714E-2</v>
      </c>
      <c r="AD42" s="125">
        <f t="shared" si="14"/>
        <v>0.30599999999999999</v>
      </c>
      <c r="AE42" s="140">
        <f t="shared" si="53"/>
        <v>0.32416509461390947</v>
      </c>
      <c r="AF42" s="130">
        <f t="shared" si="15"/>
        <v>-1.155336259359617</v>
      </c>
      <c r="AG42" s="131">
        <f t="shared" si="16"/>
        <v>1.7528217428655957E-2</v>
      </c>
      <c r="AH42" s="130">
        <f t="shared" si="17"/>
        <v>0.31495161366764945</v>
      </c>
      <c r="AI42" s="128">
        <f t="shared" si="18"/>
        <v>0.315</v>
      </c>
      <c r="AJ42" s="133">
        <f t="shared" si="19"/>
        <v>5.5218126128229921E-3</v>
      </c>
      <c r="AK42" s="134">
        <f t="shared" si="20"/>
        <v>1.752956385023172E-2</v>
      </c>
      <c r="AL42" s="125">
        <f t="shared" si="21"/>
        <v>0.89100000000000001</v>
      </c>
      <c r="AM42" s="140">
        <f t="shared" si="54"/>
        <v>0.90905710104543691</v>
      </c>
      <c r="AN42" s="130">
        <f t="shared" si="22"/>
        <v>-0.10537911042859724</v>
      </c>
      <c r="AO42" s="131">
        <f t="shared" si="23"/>
        <v>6.0983228466446882E-3</v>
      </c>
      <c r="AP42" s="130">
        <f t="shared" si="24"/>
        <v>0.89998326486189961</v>
      </c>
      <c r="AQ42" s="128">
        <f t="shared" si="25"/>
        <v>0.9</v>
      </c>
      <c r="AR42" s="133">
        <f t="shared" si="26"/>
        <v>5.4885415909943875E-3</v>
      </c>
      <c r="AS42" s="134">
        <f t="shared" si="27"/>
        <v>6.0983795455493194E-3</v>
      </c>
      <c r="AT42" s="125">
        <f t="shared" si="28"/>
        <v>5.67</v>
      </c>
      <c r="AU42" s="140">
        <f t="shared" si="55"/>
        <v>38.585736192824157</v>
      </c>
      <c r="AV42" s="130">
        <f t="shared" si="29"/>
        <v>2.694035898617293</v>
      </c>
      <c r="AW42" s="131">
        <f t="shared" si="30"/>
        <v>0.58288558108062727</v>
      </c>
      <c r="AX42" s="130">
        <f t="shared" si="31"/>
        <v>14.791251610776996</v>
      </c>
      <c r="AY42" s="128">
        <f t="shared" si="32"/>
        <v>17.53</v>
      </c>
      <c r="AZ42" s="133">
        <f t="shared" si="33"/>
        <v>11.150571937682336</v>
      </c>
      <c r="BA42" s="134">
        <f t="shared" si="34"/>
        <v>0.63608510768296267</v>
      </c>
      <c r="BB42" s="125">
        <f t="shared" si="35"/>
        <v>4.0999999999999996</v>
      </c>
      <c r="BC42" s="140">
        <f t="shared" si="56"/>
        <v>4.0999999999999996</v>
      </c>
      <c r="BD42" s="130">
        <f t="shared" si="36"/>
        <v>1.410986973710262</v>
      </c>
      <c r="BE42" s="131">
        <f t="shared" si="37"/>
        <v>0</v>
      </c>
      <c r="BF42" s="130">
        <f t="shared" si="38"/>
        <v>4.0999999999999996</v>
      </c>
      <c r="BG42" s="143">
        <f t="shared" si="57"/>
        <v>4.0999999999999996</v>
      </c>
      <c r="BH42" s="133">
        <f t="shared" si="39"/>
        <v>0</v>
      </c>
      <c r="BI42" s="134">
        <f t="shared" si="40"/>
        <v>0</v>
      </c>
      <c r="BJ42" s="125">
        <f t="shared" si="118"/>
        <v>40</v>
      </c>
      <c r="BK42" s="124">
        <f t="shared" si="118"/>
        <v>90</v>
      </c>
      <c r="BL42" s="130">
        <f t="shared" si="58"/>
        <v>4.0943445622221004</v>
      </c>
      <c r="BM42" s="131">
        <f t="shared" si="59"/>
        <v>0.24648334839402089</v>
      </c>
      <c r="BN42" s="130">
        <f t="shared" si="42"/>
        <v>59.999999999999986</v>
      </c>
      <c r="BO42" s="133">
        <f t="shared" si="43"/>
        <v>61.850586582081121</v>
      </c>
      <c r="BP42" s="133">
        <f t="shared" si="44"/>
        <v>15.47964829042014</v>
      </c>
      <c r="BQ42" s="134">
        <f t="shared" si="60"/>
        <v>0.25027488251671304</v>
      </c>
    </row>
    <row r="43" spans="1:69" x14ac:dyDescent="0.25">
      <c r="A43" t="s">
        <v>119</v>
      </c>
      <c r="B43" t="s">
        <v>379</v>
      </c>
      <c r="E43" s="152" t="str">
        <f>VLOOKUP(A43,Kleurtabel!$A$2:$F$822,6,FALSE)</f>
        <v>#80800000</v>
      </c>
      <c r="F43" s="125">
        <f t="shared" si="116"/>
        <v>10</v>
      </c>
      <c r="G43" s="124">
        <f t="shared" si="116"/>
        <v>12</v>
      </c>
      <c r="H43" s="130">
        <f t="shared" si="45"/>
        <v>2.3937458713910233</v>
      </c>
      <c r="I43" s="131">
        <f t="shared" si="46"/>
        <v>5.5416886563511993E-2</v>
      </c>
      <c r="J43" s="130">
        <f t="shared" si="1"/>
        <v>10.954451150103326</v>
      </c>
      <c r="K43" s="133">
        <f t="shared" si="2"/>
        <v>10.971284802231931</v>
      </c>
      <c r="L43" s="133">
        <f t="shared" si="3"/>
        <v>0.60846153662735081</v>
      </c>
      <c r="M43" s="134">
        <f t="shared" si="47"/>
        <v>5.5459460545912463E-2</v>
      </c>
      <c r="N43" s="125">
        <f t="shared" si="117"/>
        <v>10</v>
      </c>
      <c r="O43" s="124">
        <f t="shared" si="117"/>
        <v>12</v>
      </c>
      <c r="P43" s="130">
        <f t="shared" si="48"/>
        <v>2.3937458713910233</v>
      </c>
      <c r="Q43" s="131">
        <f t="shared" si="49"/>
        <v>5.5416886563511993E-2</v>
      </c>
      <c r="R43" s="132">
        <f t="shared" si="50"/>
        <v>10.954451150103326</v>
      </c>
      <c r="S43" s="132">
        <f t="shared" si="5"/>
        <v>10.971284802231931</v>
      </c>
      <c r="T43" s="133">
        <f t="shared" si="6"/>
        <v>0.60846153662735081</v>
      </c>
      <c r="U43" s="134">
        <f t="shared" si="51"/>
        <v>5.5459460545912463E-2</v>
      </c>
      <c r="V43" s="155">
        <f t="shared" si="7"/>
        <v>37</v>
      </c>
      <c r="W43" s="140">
        <f t="shared" si="52"/>
        <v>51.781071506430919</v>
      </c>
      <c r="X43" s="130">
        <f t="shared" si="8"/>
        <v>3.778971290097795</v>
      </c>
      <c r="Y43" s="131">
        <f t="shared" si="9"/>
        <v>0.10216010787451113</v>
      </c>
      <c r="Z43" s="130">
        <f t="shared" si="10"/>
        <v>43.77099091565033</v>
      </c>
      <c r="AA43" s="128">
        <f t="shared" si="11"/>
        <v>44</v>
      </c>
      <c r="AB43" s="133">
        <f t="shared" si="12"/>
        <v>4.5067986319898123</v>
      </c>
      <c r="AC43" s="134">
        <f t="shared" si="13"/>
        <v>0.10242724163613209</v>
      </c>
      <c r="AD43" s="125">
        <f t="shared" si="14"/>
        <v>0.311</v>
      </c>
      <c r="AE43" s="140">
        <f t="shared" si="53"/>
        <v>0.32916246831940837</v>
      </c>
      <c r="AF43" s="130">
        <f t="shared" si="15"/>
        <v>-1.1395830961159474</v>
      </c>
      <c r="AG43" s="131">
        <f t="shared" si="16"/>
        <v>1.7251836283863398E-2</v>
      </c>
      <c r="AH43" s="130">
        <f t="shared" si="17"/>
        <v>0.31995238340624382</v>
      </c>
      <c r="AI43" s="128">
        <f t="shared" si="18"/>
        <v>0.32</v>
      </c>
      <c r="AJ43" s="133">
        <f t="shared" si="19"/>
        <v>5.5209984037102909E-3</v>
      </c>
      <c r="AK43" s="134">
        <f t="shared" si="20"/>
        <v>1.725312001159466E-2</v>
      </c>
      <c r="AL43" s="125">
        <f t="shared" si="21"/>
        <v>0.89100000000000001</v>
      </c>
      <c r="AM43" s="140">
        <f t="shared" si="54"/>
        <v>0.90905710104543691</v>
      </c>
      <c r="AN43" s="130">
        <f t="shared" si="22"/>
        <v>-0.10537911042859724</v>
      </c>
      <c r="AO43" s="131">
        <f t="shared" si="23"/>
        <v>6.0983228466446882E-3</v>
      </c>
      <c r="AP43" s="130">
        <f t="shared" si="24"/>
        <v>0.89998326486189961</v>
      </c>
      <c r="AQ43" s="128">
        <f t="shared" si="25"/>
        <v>0.9</v>
      </c>
      <c r="AR43" s="133">
        <f t="shared" si="26"/>
        <v>5.4885415909943875E-3</v>
      </c>
      <c r="AS43" s="134">
        <f t="shared" si="27"/>
        <v>6.0983795455493194E-3</v>
      </c>
      <c r="AT43" s="125">
        <f t="shared" si="28"/>
        <v>13.43</v>
      </c>
      <c r="AU43" s="140">
        <f t="shared" si="55"/>
        <v>42.882962271026926</v>
      </c>
      <c r="AV43" s="130">
        <f t="shared" si="29"/>
        <v>3.1779828038623568</v>
      </c>
      <c r="AW43" s="131">
        <f t="shared" si="30"/>
        <v>0.35288254913508199</v>
      </c>
      <c r="AX43" s="130">
        <f t="shared" si="31"/>
        <v>23.998295424881576</v>
      </c>
      <c r="AY43" s="128">
        <f t="shared" si="32"/>
        <v>25.54</v>
      </c>
      <c r="AZ43" s="133">
        <f t="shared" si="33"/>
        <v>9.3006137264981543</v>
      </c>
      <c r="BA43" s="134">
        <f t="shared" si="34"/>
        <v>0.36415872069295829</v>
      </c>
      <c r="BB43" s="125">
        <f t="shared" si="35"/>
        <v>3.4</v>
      </c>
      <c r="BC43" s="140">
        <f t="shared" si="56"/>
        <v>3.4</v>
      </c>
      <c r="BD43" s="130">
        <f t="shared" si="36"/>
        <v>1.2237754316221157</v>
      </c>
      <c r="BE43" s="131">
        <f t="shared" si="37"/>
        <v>0</v>
      </c>
      <c r="BF43" s="130">
        <f t="shared" si="38"/>
        <v>3.4</v>
      </c>
      <c r="BG43" s="143">
        <f t="shared" si="57"/>
        <v>3.4</v>
      </c>
      <c r="BH43" s="133">
        <f t="shared" si="39"/>
        <v>0</v>
      </c>
      <c r="BI43" s="134">
        <f t="shared" si="40"/>
        <v>0</v>
      </c>
      <c r="BJ43" s="125">
        <f t="shared" si="118"/>
        <v>35</v>
      </c>
      <c r="BK43" s="124">
        <f t="shared" si="118"/>
        <v>45</v>
      </c>
      <c r="BL43" s="130">
        <f t="shared" si="58"/>
        <v>3.6810052756298663</v>
      </c>
      <c r="BM43" s="131">
        <f t="shared" si="59"/>
        <v>7.6387364219120402E-2</v>
      </c>
      <c r="BN43" s="130">
        <f t="shared" si="42"/>
        <v>39.686269665968844</v>
      </c>
      <c r="BO43" s="133">
        <f t="shared" si="43"/>
        <v>39.802224008352781</v>
      </c>
      <c r="BP43" s="133">
        <f t="shared" si="44"/>
        <v>3.0448275651965804</v>
      </c>
      <c r="BQ43" s="134">
        <f t="shared" si="60"/>
        <v>7.6498930425536057E-2</v>
      </c>
    </row>
    <row r="44" spans="1:69" x14ac:dyDescent="0.25">
      <c r="A44" t="s">
        <v>123</v>
      </c>
      <c r="B44" s="160" t="s">
        <v>381</v>
      </c>
      <c r="E44" s="152" t="str">
        <f>VLOOKUP(A44,Kleurtabel!$A$2:$F$822,6,FALSE)</f>
        <v>#80993300</v>
      </c>
      <c r="F44" s="125">
        <f t="shared" si="116"/>
        <v>10</v>
      </c>
      <c r="G44" s="124">
        <f t="shared" si="116"/>
        <v>12</v>
      </c>
      <c r="H44" s="130">
        <f t="shared" si="45"/>
        <v>2.3937458713910233</v>
      </c>
      <c r="I44" s="131">
        <f t="shared" si="46"/>
        <v>5.5416886563511993E-2</v>
      </c>
      <c r="J44" s="130">
        <f t="shared" si="1"/>
        <v>10.954451150103326</v>
      </c>
      <c r="K44" s="133">
        <f t="shared" si="2"/>
        <v>10.971284802231931</v>
      </c>
      <c r="L44" s="133">
        <f t="shared" si="3"/>
        <v>0.60846153662735081</v>
      </c>
      <c r="M44" s="134">
        <f t="shared" si="47"/>
        <v>5.5459460545912463E-2</v>
      </c>
      <c r="N44" s="125">
        <f t="shared" si="117"/>
        <v>10</v>
      </c>
      <c r="O44" s="124">
        <f t="shared" si="117"/>
        <v>12</v>
      </c>
      <c r="P44" s="130">
        <f t="shared" si="48"/>
        <v>2.3937458713910233</v>
      </c>
      <c r="Q44" s="131">
        <f t="shared" si="49"/>
        <v>5.5416886563511993E-2</v>
      </c>
      <c r="R44" s="132">
        <f t="shared" si="50"/>
        <v>10.954451150103326</v>
      </c>
      <c r="S44" s="132">
        <f t="shared" si="5"/>
        <v>10.971284802231931</v>
      </c>
      <c r="T44" s="133">
        <f t="shared" si="6"/>
        <v>0.60846153662735081</v>
      </c>
      <c r="U44" s="134">
        <f t="shared" si="51"/>
        <v>5.5459460545912463E-2</v>
      </c>
      <c r="V44" s="155">
        <f t="shared" si="7"/>
        <v>37</v>
      </c>
      <c r="W44" s="140">
        <f t="shared" si="52"/>
        <v>51.781071506430919</v>
      </c>
      <c r="X44" s="130">
        <f t="shared" si="8"/>
        <v>3.778971290097795</v>
      </c>
      <c r="Y44" s="131">
        <f t="shared" si="9"/>
        <v>0.10216010787451113</v>
      </c>
      <c r="Z44" s="130">
        <f t="shared" si="10"/>
        <v>43.77099091565033</v>
      </c>
      <c r="AA44" s="128">
        <f t="shared" si="11"/>
        <v>44</v>
      </c>
      <c r="AB44" s="133">
        <f t="shared" si="12"/>
        <v>4.5067986319898123</v>
      </c>
      <c r="AC44" s="134">
        <f t="shared" si="13"/>
        <v>0.10242724163613209</v>
      </c>
      <c r="AD44" s="125">
        <f t="shared" si="14"/>
        <v>0.39100000000000001</v>
      </c>
      <c r="AE44" s="140">
        <f t="shared" si="53"/>
        <v>0.39902570155202421</v>
      </c>
      <c r="AF44" s="130">
        <f t="shared" si="15"/>
        <v>-0.92888858412312136</v>
      </c>
      <c r="AG44" s="131">
        <f t="shared" si="16"/>
        <v>6.1757658806382842E-3</v>
      </c>
      <c r="AH44" s="130">
        <f t="shared" si="17"/>
        <v>0.39499246740519173</v>
      </c>
      <c r="AI44" s="128">
        <f t="shared" si="18"/>
        <v>0.39500000000000002</v>
      </c>
      <c r="AJ44" s="133">
        <f t="shared" si="19"/>
        <v>2.4394507830267373E-3</v>
      </c>
      <c r="AK44" s="134">
        <f t="shared" si="20"/>
        <v>6.1758247671562967E-3</v>
      </c>
      <c r="AL44" s="125">
        <f t="shared" si="21"/>
        <v>0.89200000000000002</v>
      </c>
      <c r="AM44" s="140">
        <f t="shared" si="54"/>
        <v>0.90804508506493276</v>
      </c>
      <c r="AN44" s="130">
        <f t="shared" si="22"/>
        <v>-0.10537519743021823</v>
      </c>
      <c r="AO44" s="131">
        <f t="shared" si="23"/>
        <v>5.4188139646866862E-3</v>
      </c>
      <c r="AP44" s="130">
        <f t="shared" si="24"/>
        <v>0.89998678650184627</v>
      </c>
      <c r="AQ44" s="128">
        <f t="shared" si="25"/>
        <v>0.9</v>
      </c>
      <c r="AR44" s="133">
        <f t="shared" si="26"/>
        <v>4.8769683694481559E-3</v>
      </c>
      <c r="AS44" s="134">
        <f t="shared" si="27"/>
        <v>5.4188537438312843E-3</v>
      </c>
      <c r="AT44" s="125">
        <f t="shared" si="28"/>
        <v>5.54</v>
      </c>
      <c r="AU44" s="140">
        <f t="shared" si="55"/>
        <v>30.535139636961212</v>
      </c>
      <c r="AV44" s="130">
        <f t="shared" si="29"/>
        <v>2.565436320218569</v>
      </c>
      <c r="AW44" s="131">
        <f t="shared" si="30"/>
        <v>0.51880961669262993</v>
      </c>
      <c r="AX44" s="130">
        <f t="shared" si="31"/>
        <v>13.006332057454369</v>
      </c>
      <c r="AY44" s="128">
        <f t="shared" si="32"/>
        <v>14.88</v>
      </c>
      <c r="AZ44" s="133">
        <f t="shared" si="33"/>
        <v>8.2697066475624634</v>
      </c>
      <c r="BA44" s="134">
        <f t="shared" si="34"/>
        <v>0.55575985534693972</v>
      </c>
      <c r="BB44" s="125">
        <f t="shared" si="35"/>
        <v>3.4</v>
      </c>
      <c r="BC44" s="140">
        <f t="shared" si="56"/>
        <v>3.4</v>
      </c>
      <c r="BD44" s="130">
        <f t="shared" si="36"/>
        <v>1.2237754316221157</v>
      </c>
      <c r="BE44" s="131">
        <f t="shared" si="37"/>
        <v>0</v>
      </c>
      <c r="BF44" s="130">
        <f t="shared" si="38"/>
        <v>3.4</v>
      </c>
      <c r="BG44" s="143">
        <f t="shared" si="57"/>
        <v>3.4</v>
      </c>
      <c r="BH44" s="133">
        <f t="shared" si="39"/>
        <v>0</v>
      </c>
      <c r="BI44" s="134">
        <f t="shared" si="40"/>
        <v>0</v>
      </c>
      <c r="BJ44" s="125">
        <f t="shared" si="118"/>
        <v>35</v>
      </c>
      <c r="BK44" s="124">
        <f t="shared" si="118"/>
        <v>45</v>
      </c>
      <c r="BL44" s="130">
        <f t="shared" si="58"/>
        <v>3.6810052756298663</v>
      </c>
      <c r="BM44" s="131">
        <f t="shared" si="59"/>
        <v>7.6387364219120402E-2</v>
      </c>
      <c r="BN44" s="130">
        <f t="shared" si="42"/>
        <v>39.686269665968844</v>
      </c>
      <c r="BO44" s="133">
        <f t="shared" si="43"/>
        <v>39.802224008352781</v>
      </c>
      <c r="BP44" s="133">
        <f t="shared" si="44"/>
        <v>3.0448275651965804</v>
      </c>
      <c r="BQ44" s="134">
        <f t="shared" si="60"/>
        <v>7.6498930425536057E-2</v>
      </c>
    </row>
    <row r="45" spans="1:69" x14ac:dyDescent="0.25">
      <c r="A45" t="s">
        <v>125</v>
      </c>
      <c r="B45" s="160" t="s">
        <v>381</v>
      </c>
      <c r="E45" s="152" t="str">
        <f>VLOOKUP(A45,Kleurtabel!$A$2:$F$822,6,FALSE)</f>
        <v>#80742700</v>
      </c>
      <c r="F45" s="125">
        <f t="shared" si="116"/>
        <v>10</v>
      </c>
      <c r="G45" s="124">
        <f t="shared" si="116"/>
        <v>12</v>
      </c>
      <c r="H45" s="130">
        <f t="shared" si="45"/>
        <v>2.3937458713910233</v>
      </c>
      <c r="I45" s="131">
        <f t="shared" si="46"/>
        <v>5.5416886563511993E-2</v>
      </c>
      <c r="J45" s="130">
        <f t="shared" si="1"/>
        <v>10.954451150103326</v>
      </c>
      <c r="K45" s="133">
        <f t="shared" si="2"/>
        <v>10.971284802231931</v>
      </c>
      <c r="L45" s="133">
        <f t="shared" si="3"/>
        <v>0.60846153662735081</v>
      </c>
      <c r="M45" s="134">
        <f t="shared" si="47"/>
        <v>5.5459460545912463E-2</v>
      </c>
      <c r="N45" s="125">
        <f t="shared" si="117"/>
        <v>10</v>
      </c>
      <c r="O45" s="124">
        <f t="shared" si="117"/>
        <v>12</v>
      </c>
      <c r="P45" s="130">
        <f t="shared" si="48"/>
        <v>2.3937458713910233</v>
      </c>
      <c r="Q45" s="131">
        <f t="shared" si="49"/>
        <v>5.5416886563511993E-2</v>
      </c>
      <c r="R45" s="132">
        <f t="shared" si="50"/>
        <v>10.954451150103326</v>
      </c>
      <c r="S45" s="132">
        <f t="shared" si="5"/>
        <v>10.971284802231931</v>
      </c>
      <c r="T45" s="133">
        <f t="shared" si="6"/>
        <v>0.60846153662735081</v>
      </c>
      <c r="U45" s="134">
        <f t="shared" si="51"/>
        <v>5.5459460545912463E-2</v>
      </c>
      <c r="V45" s="155">
        <f t="shared" si="7"/>
        <v>37</v>
      </c>
      <c r="W45" s="140">
        <f t="shared" si="52"/>
        <v>51.781071506430919</v>
      </c>
      <c r="X45" s="130">
        <f t="shared" si="8"/>
        <v>3.778971290097795</v>
      </c>
      <c r="Y45" s="131">
        <f t="shared" si="9"/>
        <v>0.10216010787451113</v>
      </c>
      <c r="Z45" s="130">
        <f t="shared" si="10"/>
        <v>43.77099091565033</v>
      </c>
      <c r="AA45" s="128">
        <f t="shared" si="11"/>
        <v>44</v>
      </c>
      <c r="AB45" s="133">
        <f t="shared" si="12"/>
        <v>4.5067986319898123</v>
      </c>
      <c r="AC45" s="134">
        <f t="shared" si="13"/>
        <v>0.10242724163613209</v>
      </c>
      <c r="AD45" s="125">
        <f t="shared" si="14"/>
        <v>0.3</v>
      </c>
      <c r="AE45" s="140">
        <f t="shared" si="53"/>
        <v>0.32020760072616056</v>
      </c>
      <c r="AF45" s="130">
        <f t="shared" si="15"/>
        <v>-1.1713792727969157</v>
      </c>
      <c r="AG45" s="131">
        <f t="shared" si="16"/>
        <v>1.9813696978127959E-2</v>
      </c>
      <c r="AH45" s="130">
        <f t="shared" si="17"/>
        <v>0.30993915567067054</v>
      </c>
      <c r="AI45" s="128">
        <f t="shared" si="18"/>
        <v>0.31</v>
      </c>
      <c r="AJ45" s="133">
        <f t="shared" si="19"/>
        <v>6.1428489472405015E-3</v>
      </c>
      <c r="AK45" s="134">
        <f t="shared" si="20"/>
        <v>1.9815641765291939E-2</v>
      </c>
      <c r="AL45" s="125">
        <f t="shared" si="21"/>
        <v>0.8</v>
      </c>
      <c r="AM45" s="140">
        <f t="shared" si="54"/>
        <v>1.0075358198295645</v>
      </c>
      <c r="AN45" s="130">
        <f t="shared" si="22"/>
        <v>-0.10781799196339945</v>
      </c>
      <c r="AO45" s="131">
        <f t="shared" si="23"/>
        <v>7.0106723009611072E-2</v>
      </c>
      <c r="AP45" s="130">
        <f t="shared" si="24"/>
        <v>0.89779098673558289</v>
      </c>
      <c r="AQ45" s="128">
        <f t="shared" si="25"/>
        <v>0.9</v>
      </c>
      <c r="AR45" s="133">
        <f t="shared" si="26"/>
        <v>6.3173658677217331E-2</v>
      </c>
      <c r="AS45" s="134">
        <f t="shared" si="27"/>
        <v>7.0192954085797038E-2</v>
      </c>
      <c r="AT45" s="125">
        <f t="shared" si="28"/>
        <v>15</v>
      </c>
      <c r="AU45" s="140">
        <f t="shared" si="55"/>
        <v>38.400329637787635</v>
      </c>
      <c r="AV45" s="130">
        <f t="shared" si="29"/>
        <v>3.1780581224882161</v>
      </c>
      <c r="AW45" s="131">
        <f t="shared" si="30"/>
        <v>0.28571910114650834</v>
      </c>
      <c r="AX45" s="130">
        <f t="shared" si="31"/>
        <v>24.000103011587562</v>
      </c>
      <c r="AY45" s="128">
        <f t="shared" si="32"/>
        <v>25</v>
      </c>
      <c r="AZ45" s="133">
        <f t="shared" si="33"/>
        <v>7.291267462858622</v>
      </c>
      <c r="BA45" s="134">
        <f t="shared" si="34"/>
        <v>0.29165069851434489</v>
      </c>
      <c r="BB45" s="125">
        <f t="shared" si="35"/>
        <v>3.4</v>
      </c>
      <c r="BC45" s="140">
        <f t="shared" si="56"/>
        <v>3.4</v>
      </c>
      <c r="BD45" s="130">
        <f t="shared" si="36"/>
        <v>1.2237754316221157</v>
      </c>
      <c r="BE45" s="131">
        <f t="shared" si="37"/>
        <v>0</v>
      </c>
      <c r="BF45" s="130">
        <f t="shared" si="38"/>
        <v>3.4</v>
      </c>
      <c r="BG45" s="143">
        <f t="shared" si="57"/>
        <v>3.4</v>
      </c>
      <c r="BH45" s="133">
        <f t="shared" si="39"/>
        <v>0</v>
      </c>
      <c r="BI45" s="134">
        <f t="shared" si="40"/>
        <v>0</v>
      </c>
      <c r="BJ45" s="125">
        <f t="shared" si="118"/>
        <v>35</v>
      </c>
      <c r="BK45" s="124">
        <f t="shared" si="118"/>
        <v>90</v>
      </c>
      <c r="BL45" s="130">
        <f t="shared" si="58"/>
        <v>4.027578865909839</v>
      </c>
      <c r="BM45" s="131">
        <f t="shared" si="59"/>
        <v>0.28707039782396704</v>
      </c>
      <c r="BN45" s="130">
        <f t="shared" si="42"/>
        <v>56.124860801609103</v>
      </c>
      <c r="BO45" s="133">
        <f t="shared" si="43"/>
        <v>58.485775601664479</v>
      </c>
      <c r="BP45" s="133">
        <f t="shared" si="44"/>
        <v>17.14145157354686</v>
      </c>
      <c r="BQ45" s="134">
        <f t="shared" si="60"/>
        <v>0.29308753106557112</v>
      </c>
    </row>
    <row r="46" spans="1:69" x14ac:dyDescent="0.25">
      <c r="A46" t="s">
        <v>127</v>
      </c>
      <c r="B46" s="159" t="s">
        <v>376</v>
      </c>
      <c r="E46" s="152" t="str">
        <f>VLOOKUP(A46,Kleurtabel!$A$2:$F$822,6,FALSE)</f>
        <v>#80993300</v>
      </c>
      <c r="F46" s="125">
        <f t="shared" si="116"/>
        <v>10</v>
      </c>
      <c r="G46" s="124">
        <f t="shared" si="116"/>
        <v>12</v>
      </c>
      <c r="H46" s="130">
        <f t="shared" si="45"/>
        <v>2.3937458713910233</v>
      </c>
      <c r="I46" s="131">
        <f t="shared" si="46"/>
        <v>5.5416886563511993E-2</v>
      </c>
      <c r="J46" s="130">
        <f t="shared" si="1"/>
        <v>10.954451150103326</v>
      </c>
      <c r="K46" s="133">
        <f t="shared" si="2"/>
        <v>10.971284802231931</v>
      </c>
      <c r="L46" s="133">
        <f t="shared" si="3"/>
        <v>0.60846153662735081</v>
      </c>
      <c r="M46" s="134">
        <f t="shared" si="47"/>
        <v>5.5459460545912463E-2</v>
      </c>
      <c r="N46" s="125">
        <f t="shared" si="117"/>
        <v>10</v>
      </c>
      <c r="O46" s="124">
        <f t="shared" si="117"/>
        <v>12</v>
      </c>
      <c r="P46" s="130">
        <f t="shared" si="48"/>
        <v>2.3937458713910233</v>
      </c>
      <c r="Q46" s="131">
        <f t="shared" si="49"/>
        <v>5.5416886563511993E-2</v>
      </c>
      <c r="R46" s="132">
        <f t="shared" si="50"/>
        <v>10.954451150103326</v>
      </c>
      <c r="S46" s="132">
        <f t="shared" si="5"/>
        <v>10.971284802231931</v>
      </c>
      <c r="T46" s="133">
        <f t="shared" si="6"/>
        <v>0.60846153662735081</v>
      </c>
      <c r="U46" s="134">
        <f t="shared" si="51"/>
        <v>5.5459460545912463E-2</v>
      </c>
      <c r="V46" s="155">
        <f t="shared" si="7"/>
        <v>37</v>
      </c>
      <c r="W46" s="140">
        <f t="shared" si="52"/>
        <v>51.781071506430919</v>
      </c>
      <c r="X46" s="130">
        <f t="shared" si="8"/>
        <v>3.778971290097795</v>
      </c>
      <c r="Y46" s="131">
        <f t="shared" si="9"/>
        <v>0.10216010787451113</v>
      </c>
      <c r="Z46" s="130">
        <f t="shared" si="10"/>
        <v>43.77099091565033</v>
      </c>
      <c r="AA46" s="128">
        <f t="shared" si="11"/>
        <v>44</v>
      </c>
      <c r="AB46" s="133">
        <f t="shared" si="12"/>
        <v>4.5067986319898123</v>
      </c>
      <c r="AC46" s="134">
        <f t="shared" si="13"/>
        <v>0.10242724163613209</v>
      </c>
      <c r="AD46" s="125">
        <f t="shared" si="14"/>
        <v>0.311</v>
      </c>
      <c r="AE46" s="140">
        <f t="shared" si="53"/>
        <v>0.32916246831940837</v>
      </c>
      <c r="AF46" s="130">
        <f t="shared" si="15"/>
        <v>-1.1395830961159474</v>
      </c>
      <c r="AG46" s="131">
        <f t="shared" si="16"/>
        <v>1.7251836283863398E-2</v>
      </c>
      <c r="AH46" s="130">
        <f t="shared" si="17"/>
        <v>0.31995238340624382</v>
      </c>
      <c r="AI46" s="128">
        <f t="shared" si="18"/>
        <v>0.32</v>
      </c>
      <c r="AJ46" s="133">
        <f t="shared" si="19"/>
        <v>5.5209984037102909E-3</v>
      </c>
      <c r="AK46" s="134">
        <f t="shared" si="20"/>
        <v>1.725312001159466E-2</v>
      </c>
      <c r="AL46" s="125">
        <f t="shared" si="21"/>
        <v>0.89100000000000001</v>
      </c>
      <c r="AM46" s="140">
        <f t="shared" si="54"/>
        <v>0.90905710104543691</v>
      </c>
      <c r="AN46" s="130">
        <f t="shared" si="22"/>
        <v>-0.10537911042859724</v>
      </c>
      <c r="AO46" s="131">
        <f t="shared" si="23"/>
        <v>6.0983228466446882E-3</v>
      </c>
      <c r="AP46" s="130">
        <f t="shared" si="24"/>
        <v>0.89998326486189961</v>
      </c>
      <c r="AQ46" s="128">
        <f t="shared" si="25"/>
        <v>0.9</v>
      </c>
      <c r="AR46" s="133">
        <f t="shared" si="26"/>
        <v>5.4885415909943875E-3</v>
      </c>
      <c r="AS46" s="134">
        <f t="shared" si="27"/>
        <v>6.0983795455493194E-3</v>
      </c>
      <c r="AT46" s="125">
        <f t="shared" si="28"/>
        <v>13.43</v>
      </c>
      <c r="AU46" s="140">
        <f t="shared" si="55"/>
        <v>42.882962271026926</v>
      </c>
      <c r="AV46" s="130">
        <f t="shared" si="29"/>
        <v>3.1779828038623568</v>
      </c>
      <c r="AW46" s="131">
        <f t="shared" si="30"/>
        <v>0.35288254913508199</v>
      </c>
      <c r="AX46" s="130">
        <f t="shared" si="31"/>
        <v>23.998295424881576</v>
      </c>
      <c r="AY46" s="128">
        <f t="shared" si="32"/>
        <v>25.54</v>
      </c>
      <c r="AZ46" s="133">
        <f t="shared" si="33"/>
        <v>9.3006137264981543</v>
      </c>
      <c r="BA46" s="134">
        <f t="shared" si="34"/>
        <v>0.36415872069295829</v>
      </c>
      <c r="BB46" s="125">
        <f t="shared" si="35"/>
        <v>3.4</v>
      </c>
      <c r="BC46" s="140">
        <f t="shared" si="56"/>
        <v>3.4</v>
      </c>
      <c r="BD46" s="130">
        <f t="shared" si="36"/>
        <v>1.2237754316221157</v>
      </c>
      <c r="BE46" s="131">
        <f t="shared" si="37"/>
        <v>0</v>
      </c>
      <c r="BF46" s="130">
        <f t="shared" si="38"/>
        <v>3.4</v>
      </c>
      <c r="BG46" s="143">
        <f t="shared" si="57"/>
        <v>3.4</v>
      </c>
      <c r="BH46" s="133">
        <f t="shared" si="39"/>
        <v>0</v>
      </c>
      <c r="BI46" s="134">
        <f t="shared" si="40"/>
        <v>0</v>
      </c>
      <c r="BJ46" s="125">
        <f t="shared" si="118"/>
        <v>35</v>
      </c>
      <c r="BK46" s="124">
        <f t="shared" si="118"/>
        <v>90</v>
      </c>
      <c r="BL46" s="130">
        <f t="shared" si="58"/>
        <v>4.027578865909839</v>
      </c>
      <c r="BM46" s="131">
        <f t="shared" si="59"/>
        <v>0.28707039782396704</v>
      </c>
      <c r="BN46" s="130">
        <f t="shared" si="42"/>
        <v>56.124860801609103</v>
      </c>
      <c r="BO46" s="133">
        <f t="shared" si="43"/>
        <v>58.485775601664479</v>
      </c>
      <c r="BP46" s="133">
        <f t="shared" si="44"/>
        <v>17.14145157354686</v>
      </c>
      <c r="BQ46" s="134">
        <f t="shared" si="60"/>
        <v>0.29308753106557112</v>
      </c>
    </row>
    <row r="47" spans="1:69" x14ac:dyDescent="0.25">
      <c r="A47" t="s">
        <v>130</v>
      </c>
      <c r="B47" s="159" t="s">
        <v>377</v>
      </c>
      <c r="E47" s="152" t="str">
        <f>VLOOKUP(A47,Kleurtabel!$A$2:$F$822,6,FALSE)</f>
        <v>#80808080</v>
      </c>
      <c r="F47" s="125">
        <f t="shared" si="116"/>
        <v>17</v>
      </c>
      <c r="G47" s="124">
        <f t="shared" si="116"/>
        <v>18</v>
      </c>
      <c r="H47" s="130">
        <f t="shared" si="45"/>
        <v>2.8617925509761903</v>
      </c>
      <c r="I47" s="131">
        <f t="shared" si="46"/>
        <v>1.7373378066853601E-2</v>
      </c>
      <c r="J47" s="130">
        <f t="shared" si="1"/>
        <v>17.4928556845359</v>
      </c>
      <c r="K47" s="133">
        <f t="shared" si="2"/>
        <v>17.495495855377509</v>
      </c>
      <c r="L47" s="133">
        <f t="shared" si="3"/>
        <v>0.30397880147861883</v>
      </c>
      <c r="M47" s="134">
        <f t="shared" si="47"/>
        <v>1.7374689119496221E-2</v>
      </c>
      <c r="N47" s="125">
        <f t="shared" si="117"/>
        <v>19</v>
      </c>
      <c r="O47" s="124">
        <f t="shared" si="117"/>
        <v>20</v>
      </c>
      <c r="P47" s="130">
        <f t="shared" si="48"/>
        <v>2.9700856263602153</v>
      </c>
      <c r="Q47" s="131">
        <f t="shared" si="49"/>
        <v>1.5590666987097445E-2</v>
      </c>
      <c r="R47" s="132">
        <f t="shared" si="50"/>
        <v>19.493588689617919</v>
      </c>
      <c r="S47" s="132">
        <f t="shared" si="5"/>
        <v>19.495957976141646</v>
      </c>
      <c r="T47" s="133">
        <f t="shared" si="6"/>
        <v>0.30397345983682589</v>
      </c>
      <c r="U47" s="134">
        <f t="shared" si="51"/>
        <v>1.5591614436634309E-2</v>
      </c>
      <c r="V47" s="155">
        <f t="shared" si="7"/>
        <v>33.200000000000003</v>
      </c>
      <c r="W47" s="140">
        <f t="shared" si="52"/>
        <v>34.812046266525151</v>
      </c>
      <c r="X47" s="130">
        <f t="shared" si="8"/>
        <v>3.5262566799441935</v>
      </c>
      <c r="Y47" s="131">
        <f t="shared" si="9"/>
        <v>1.4411431016261522E-2</v>
      </c>
      <c r="Z47" s="130">
        <f t="shared" si="10"/>
        <v>33.996469464469918</v>
      </c>
      <c r="AA47" s="128">
        <f t="shared" si="11"/>
        <v>34</v>
      </c>
      <c r="AB47" s="133">
        <f t="shared" si="12"/>
        <v>0.49001409700939824</v>
      </c>
      <c r="AC47" s="134">
        <f t="shared" si="13"/>
        <v>1.441217932380583E-2</v>
      </c>
      <c r="AD47" s="125" t="str">
        <f t="shared" si="14"/>
        <v>-</v>
      </c>
      <c r="AE47" s="140" t="str">
        <f t="shared" si="53"/>
        <v>-</v>
      </c>
      <c r="AF47" s="130" t="str">
        <f t="shared" si="15"/>
        <v>-</v>
      </c>
      <c r="AG47" s="131" t="str">
        <f t="shared" si="16"/>
        <v>-</v>
      </c>
      <c r="AH47" s="130" t="str">
        <f t="shared" si="17"/>
        <v>-</v>
      </c>
      <c r="AI47" s="128" t="str">
        <f t="shared" si="18"/>
        <v>-</v>
      </c>
      <c r="AJ47" s="133" t="str">
        <f t="shared" si="19"/>
        <v>-</v>
      </c>
      <c r="AK47" s="134" t="str">
        <f t="shared" si="20"/>
        <v>-</v>
      </c>
      <c r="AL47" s="125" t="str">
        <f t="shared" si="21"/>
        <v>-</v>
      </c>
      <c r="AM47" s="140" t="str">
        <f t="shared" si="54"/>
        <v>-</v>
      </c>
      <c r="AN47" s="130" t="str">
        <f t="shared" si="22"/>
        <v>-</v>
      </c>
      <c r="AO47" s="131" t="str">
        <f t="shared" si="23"/>
        <v>-</v>
      </c>
      <c r="AP47" s="130" t="str">
        <f t="shared" si="24"/>
        <v>-</v>
      </c>
      <c r="AQ47" s="128" t="str">
        <f t="shared" si="25"/>
        <v>-</v>
      </c>
      <c r="AR47" s="133" t="str">
        <f t="shared" si="26"/>
        <v>-</v>
      </c>
      <c r="AS47" s="134" t="str">
        <f t="shared" si="27"/>
        <v>-</v>
      </c>
      <c r="AT47" s="125" t="str">
        <f t="shared" si="28"/>
        <v>-</v>
      </c>
      <c r="AU47" s="140" t="str">
        <f t="shared" si="55"/>
        <v>-</v>
      </c>
      <c r="AV47" s="130" t="str">
        <f t="shared" si="29"/>
        <v>-</v>
      </c>
      <c r="AW47" s="131" t="str">
        <f t="shared" si="30"/>
        <v>-</v>
      </c>
      <c r="AX47" s="130" t="str">
        <f t="shared" si="31"/>
        <v>-</v>
      </c>
      <c r="AY47" s="128" t="str">
        <f t="shared" si="32"/>
        <v>-</v>
      </c>
      <c r="AZ47" s="133" t="str">
        <f t="shared" si="33"/>
        <v>-</v>
      </c>
      <c r="BA47" s="134" t="str">
        <f t="shared" si="34"/>
        <v>-</v>
      </c>
      <c r="BB47" s="125" t="str">
        <f t="shared" si="35"/>
        <v>-</v>
      </c>
      <c r="BC47" s="140" t="str">
        <f t="shared" si="56"/>
        <v>-</v>
      </c>
      <c r="BD47" s="130" t="str">
        <f t="shared" si="36"/>
        <v>-</v>
      </c>
      <c r="BE47" s="131" t="str">
        <f t="shared" si="37"/>
        <v>-</v>
      </c>
      <c r="BF47" s="130" t="str">
        <f t="shared" si="38"/>
        <v>-</v>
      </c>
      <c r="BG47" s="143" t="str">
        <f t="shared" si="57"/>
        <v>-</v>
      </c>
      <c r="BH47" s="133" t="str">
        <f t="shared" si="39"/>
        <v>-</v>
      </c>
      <c r="BI47" s="134" t="str">
        <f t="shared" si="40"/>
        <v>-</v>
      </c>
      <c r="BJ47" s="125">
        <f t="shared" si="118"/>
        <v>103</v>
      </c>
      <c r="BK47" s="124">
        <f t="shared" si="118"/>
        <v>103</v>
      </c>
      <c r="BL47" s="130">
        <f t="shared" si="58"/>
        <v>4.6347289882296359</v>
      </c>
      <c r="BM47" s="131">
        <f t="shared" si="59"/>
        <v>0</v>
      </c>
      <c r="BN47" s="130">
        <f t="shared" si="42"/>
        <v>103.00000000000001</v>
      </c>
      <c r="BO47" s="133">
        <f t="shared" si="43"/>
        <v>103.00000000000001</v>
      </c>
      <c r="BP47" s="133">
        <f t="shared" si="44"/>
        <v>0</v>
      </c>
      <c r="BQ47" s="134">
        <f t="shared" si="60"/>
        <v>0</v>
      </c>
    </row>
    <row r="48" spans="1:69" x14ac:dyDescent="0.25">
      <c r="A48" t="s">
        <v>132</v>
      </c>
      <c r="B48" s="159" t="s">
        <v>377</v>
      </c>
      <c r="E48" s="152" t="str">
        <f>VLOOKUP(A48,Kleurtabel!$A$2:$F$822,6,FALSE)</f>
        <v>#80C0C0C0</v>
      </c>
      <c r="F48" s="125">
        <f t="shared" si="116"/>
        <v>18</v>
      </c>
      <c r="G48" s="124">
        <f t="shared" si="116"/>
        <v>19</v>
      </c>
      <c r="H48" s="130">
        <f t="shared" si="45"/>
        <v>2.9174053685313024</v>
      </c>
      <c r="I48" s="131">
        <f t="shared" si="46"/>
        <v>1.6433805857226671E-2</v>
      </c>
      <c r="J48" s="130">
        <f t="shared" si="1"/>
        <v>18.493242008906925</v>
      </c>
      <c r="K48" s="133">
        <f t="shared" si="2"/>
        <v>18.495739412224619</v>
      </c>
      <c r="L48" s="133">
        <f t="shared" si="3"/>
        <v>0.30397591414727615</v>
      </c>
      <c r="M48" s="134">
        <f t="shared" si="47"/>
        <v>1.6434915489043144E-2</v>
      </c>
      <c r="N48" s="125">
        <f t="shared" si="117"/>
        <v>20</v>
      </c>
      <c r="O48" s="124">
        <f t="shared" si="117"/>
        <v>21</v>
      </c>
      <c r="P48" s="130">
        <f t="shared" si="48"/>
        <v>3.0201273556387069</v>
      </c>
      <c r="Q48" s="131">
        <f t="shared" si="49"/>
        <v>1.4829837133566006E-2</v>
      </c>
      <c r="R48" s="132">
        <f t="shared" si="50"/>
        <v>20.493901531919196</v>
      </c>
      <c r="S48" s="132">
        <f t="shared" si="5"/>
        <v>20.496155206937743</v>
      </c>
      <c r="T48" s="133">
        <f t="shared" si="6"/>
        <v>0.30397135608439629</v>
      </c>
      <c r="U48" s="134">
        <f t="shared" si="51"/>
        <v>1.4830652530456298E-2</v>
      </c>
      <c r="V48" s="155">
        <f t="shared" si="7"/>
        <v>30.95</v>
      </c>
      <c r="W48" s="140">
        <f t="shared" si="52"/>
        <v>33.072180669348825</v>
      </c>
      <c r="X48" s="130">
        <f t="shared" si="8"/>
        <v>3.4655327324823864</v>
      </c>
      <c r="Y48" s="131">
        <f t="shared" si="9"/>
        <v>2.015789261506451E-2</v>
      </c>
      <c r="Z48" s="130">
        <f t="shared" si="10"/>
        <v>31.993499210251233</v>
      </c>
      <c r="AA48" s="128">
        <f t="shared" si="11"/>
        <v>32</v>
      </c>
      <c r="AB48" s="133">
        <f t="shared" si="12"/>
        <v>0.64511809699671463</v>
      </c>
      <c r="AC48" s="134">
        <f t="shared" si="13"/>
        <v>2.0159940531147332E-2</v>
      </c>
      <c r="AD48" s="125" t="str">
        <f t="shared" si="14"/>
        <v>-</v>
      </c>
      <c r="AE48" s="140" t="str">
        <f t="shared" si="53"/>
        <v>-</v>
      </c>
      <c r="AF48" s="130" t="str">
        <f t="shared" si="15"/>
        <v>-</v>
      </c>
      <c r="AG48" s="131" t="str">
        <f t="shared" si="16"/>
        <v>-</v>
      </c>
      <c r="AH48" s="130" t="str">
        <f t="shared" si="17"/>
        <v>-</v>
      </c>
      <c r="AI48" s="128" t="str">
        <f t="shared" si="18"/>
        <v>-</v>
      </c>
      <c r="AJ48" s="133" t="str">
        <f t="shared" si="19"/>
        <v>-</v>
      </c>
      <c r="AK48" s="134" t="str">
        <f t="shared" si="20"/>
        <v>-</v>
      </c>
      <c r="AL48" s="125" t="str">
        <f t="shared" si="21"/>
        <v>-</v>
      </c>
      <c r="AM48" s="140" t="str">
        <f t="shared" si="54"/>
        <v>-</v>
      </c>
      <c r="AN48" s="130" t="str">
        <f t="shared" si="22"/>
        <v>-</v>
      </c>
      <c r="AO48" s="131" t="str">
        <f t="shared" si="23"/>
        <v>-</v>
      </c>
      <c r="AP48" s="130" t="str">
        <f t="shared" si="24"/>
        <v>-</v>
      </c>
      <c r="AQ48" s="128" t="str">
        <f t="shared" si="25"/>
        <v>-</v>
      </c>
      <c r="AR48" s="133" t="str">
        <f t="shared" si="26"/>
        <v>-</v>
      </c>
      <c r="AS48" s="134" t="str">
        <f t="shared" si="27"/>
        <v>-</v>
      </c>
      <c r="AT48" s="125" t="str">
        <f t="shared" si="28"/>
        <v>-</v>
      </c>
      <c r="AU48" s="140" t="str">
        <f t="shared" si="55"/>
        <v>-</v>
      </c>
      <c r="AV48" s="130" t="str">
        <f t="shared" si="29"/>
        <v>-</v>
      </c>
      <c r="AW48" s="131" t="str">
        <f t="shared" si="30"/>
        <v>-</v>
      </c>
      <c r="AX48" s="130" t="str">
        <f t="shared" si="31"/>
        <v>-</v>
      </c>
      <c r="AY48" s="128" t="str">
        <f t="shared" si="32"/>
        <v>-</v>
      </c>
      <c r="AZ48" s="133" t="str">
        <f t="shared" si="33"/>
        <v>-</v>
      </c>
      <c r="BA48" s="134" t="str">
        <f t="shared" si="34"/>
        <v>-</v>
      </c>
      <c r="BB48" s="125" t="str">
        <f t="shared" si="35"/>
        <v>-</v>
      </c>
      <c r="BC48" s="140" t="str">
        <f t="shared" si="56"/>
        <v>-</v>
      </c>
      <c r="BD48" s="130" t="str">
        <f t="shared" si="36"/>
        <v>-</v>
      </c>
      <c r="BE48" s="131" t="str">
        <f t="shared" si="37"/>
        <v>-</v>
      </c>
      <c r="BF48" s="130" t="str">
        <f t="shared" si="38"/>
        <v>-</v>
      </c>
      <c r="BG48" s="143" t="str">
        <f t="shared" si="57"/>
        <v>-</v>
      </c>
      <c r="BH48" s="133" t="str">
        <f t="shared" si="39"/>
        <v>-</v>
      </c>
      <c r="BI48" s="134" t="str">
        <f t="shared" si="40"/>
        <v>-</v>
      </c>
      <c r="BJ48" s="125">
        <f t="shared" si="118"/>
        <v>103</v>
      </c>
      <c r="BK48" s="124">
        <f t="shared" si="118"/>
        <v>103</v>
      </c>
      <c r="BL48" s="130">
        <f t="shared" si="58"/>
        <v>4.6347289882296359</v>
      </c>
      <c r="BM48" s="131">
        <f t="shared" si="59"/>
        <v>0</v>
      </c>
      <c r="BN48" s="130">
        <f t="shared" si="42"/>
        <v>103.00000000000001</v>
      </c>
      <c r="BO48" s="133">
        <f t="shared" si="43"/>
        <v>103.00000000000001</v>
      </c>
      <c r="BP48" s="133">
        <f t="shared" si="44"/>
        <v>0</v>
      </c>
      <c r="BQ48" s="134">
        <f t="shared" si="60"/>
        <v>0</v>
      </c>
    </row>
    <row r="49" spans="1:69" x14ac:dyDescent="0.25">
      <c r="A49" s="158" t="s">
        <v>134</v>
      </c>
      <c r="B49" t="s">
        <v>382</v>
      </c>
      <c r="E49" s="152" t="str">
        <f>VLOOKUP(A49,Kleurtabel!$A$2:$F$822,6,FALSE)</f>
        <v>#80F5F5F5</v>
      </c>
      <c r="F49" s="125">
        <f t="shared" si="116"/>
        <v>17</v>
      </c>
      <c r="G49" s="124">
        <f t="shared" si="116"/>
        <v>18</v>
      </c>
      <c r="H49" s="130">
        <f t="shared" si="45"/>
        <v>2.8617925509761903</v>
      </c>
      <c r="I49" s="131">
        <f t="shared" si="46"/>
        <v>1.7373378066853601E-2</v>
      </c>
      <c r="J49" s="130">
        <f t="shared" si="1"/>
        <v>17.4928556845359</v>
      </c>
      <c r="K49" s="133">
        <f t="shared" si="2"/>
        <v>17.495495855377509</v>
      </c>
      <c r="L49" s="133">
        <f t="shared" si="3"/>
        <v>0.30397880147861883</v>
      </c>
      <c r="M49" s="134">
        <f t="shared" si="47"/>
        <v>1.7374689119496221E-2</v>
      </c>
      <c r="N49" s="125">
        <f t="shared" si="117"/>
        <v>19</v>
      </c>
      <c r="O49" s="124">
        <f t="shared" si="117"/>
        <v>20</v>
      </c>
      <c r="P49" s="130">
        <f t="shared" si="48"/>
        <v>2.9700856263602153</v>
      </c>
      <c r="Q49" s="131">
        <f t="shared" si="49"/>
        <v>1.5590666987097445E-2</v>
      </c>
      <c r="R49" s="132">
        <f t="shared" si="50"/>
        <v>19.493588689617919</v>
      </c>
      <c r="S49" s="132">
        <f t="shared" si="5"/>
        <v>19.495957976141646</v>
      </c>
      <c r="T49" s="133">
        <f t="shared" si="6"/>
        <v>0.30397345983682589</v>
      </c>
      <c r="U49" s="134">
        <f t="shared" si="51"/>
        <v>1.5591614436634309E-2</v>
      </c>
      <c r="V49" s="155">
        <f t="shared" si="7"/>
        <v>31</v>
      </c>
      <c r="W49" s="140">
        <f t="shared" si="52"/>
        <v>33.020098242525378</v>
      </c>
      <c r="X49" s="130">
        <f t="shared" si="8"/>
        <v>3.4655518091078741</v>
      </c>
      <c r="Y49" s="131">
        <f t="shared" si="9"/>
        <v>1.9188209497098985E-2</v>
      </c>
      <c r="Z49" s="130">
        <f t="shared" si="10"/>
        <v>31.994109544075247</v>
      </c>
      <c r="AA49" s="128">
        <f t="shared" si="11"/>
        <v>32</v>
      </c>
      <c r="AB49" s="133">
        <f t="shared" si="12"/>
        <v>0.61407922709602392</v>
      </c>
      <c r="AC49" s="134">
        <f t="shared" si="13"/>
        <v>1.9189975846750747E-2</v>
      </c>
      <c r="AD49" s="125" t="str">
        <f t="shared" si="14"/>
        <v>-</v>
      </c>
      <c r="AE49" s="140" t="str">
        <f t="shared" si="53"/>
        <v>-</v>
      </c>
      <c r="AF49" s="130" t="str">
        <f t="shared" si="15"/>
        <v>-</v>
      </c>
      <c r="AG49" s="131" t="str">
        <f t="shared" si="16"/>
        <v>-</v>
      </c>
      <c r="AH49" s="130" t="str">
        <f t="shared" si="17"/>
        <v>-</v>
      </c>
      <c r="AI49" s="128" t="str">
        <f t="shared" si="18"/>
        <v>-</v>
      </c>
      <c r="AJ49" s="133" t="str">
        <f t="shared" si="19"/>
        <v>-</v>
      </c>
      <c r="AK49" s="134" t="str">
        <f t="shared" si="20"/>
        <v>-</v>
      </c>
      <c r="AL49" s="125" t="str">
        <f t="shared" si="21"/>
        <v>-</v>
      </c>
      <c r="AM49" s="140" t="str">
        <f t="shared" si="54"/>
        <v>-</v>
      </c>
      <c r="AN49" s="130" t="str">
        <f t="shared" si="22"/>
        <v>-</v>
      </c>
      <c r="AO49" s="131" t="str">
        <f t="shared" si="23"/>
        <v>-</v>
      </c>
      <c r="AP49" s="130" t="str">
        <f t="shared" si="24"/>
        <v>-</v>
      </c>
      <c r="AQ49" s="128" t="str">
        <f t="shared" si="25"/>
        <v>-</v>
      </c>
      <c r="AR49" s="133" t="str">
        <f t="shared" si="26"/>
        <v>-</v>
      </c>
      <c r="AS49" s="134" t="str">
        <f t="shared" si="27"/>
        <v>-</v>
      </c>
      <c r="AT49" s="125" t="str">
        <f t="shared" si="28"/>
        <v>-</v>
      </c>
      <c r="AU49" s="140" t="str">
        <f t="shared" si="55"/>
        <v>-</v>
      </c>
      <c r="AV49" s="130" t="str">
        <f t="shared" si="29"/>
        <v>-</v>
      </c>
      <c r="AW49" s="131" t="str">
        <f t="shared" si="30"/>
        <v>-</v>
      </c>
      <c r="AX49" s="130" t="str">
        <f t="shared" si="31"/>
        <v>-</v>
      </c>
      <c r="AY49" s="128" t="str">
        <f t="shared" si="32"/>
        <v>-</v>
      </c>
      <c r="AZ49" s="133" t="str">
        <f t="shared" si="33"/>
        <v>-</v>
      </c>
      <c r="BA49" s="134" t="str">
        <f t="shared" si="34"/>
        <v>-</v>
      </c>
      <c r="BB49" s="125" t="str">
        <f t="shared" si="35"/>
        <v>-</v>
      </c>
      <c r="BC49" s="140" t="str">
        <f t="shared" si="56"/>
        <v>-</v>
      </c>
      <c r="BD49" s="130" t="str">
        <f t="shared" si="36"/>
        <v>-</v>
      </c>
      <c r="BE49" s="131" t="str">
        <f t="shared" si="37"/>
        <v>-</v>
      </c>
      <c r="BF49" s="130" t="str">
        <f t="shared" si="38"/>
        <v>-</v>
      </c>
      <c r="BG49" s="143" t="str">
        <f t="shared" si="57"/>
        <v>-</v>
      </c>
      <c r="BH49" s="133" t="str">
        <f t="shared" si="39"/>
        <v>-</v>
      </c>
      <c r="BI49" s="134" t="str">
        <f t="shared" si="40"/>
        <v>-</v>
      </c>
      <c r="BJ49" s="125">
        <f t="shared" si="118"/>
        <v>103</v>
      </c>
      <c r="BK49" s="124">
        <f t="shared" si="118"/>
        <v>103</v>
      </c>
      <c r="BL49" s="130">
        <f t="shared" si="58"/>
        <v>4.6347289882296359</v>
      </c>
      <c r="BM49" s="131">
        <f t="shared" si="59"/>
        <v>0</v>
      </c>
      <c r="BN49" s="130">
        <f t="shared" si="42"/>
        <v>103.00000000000001</v>
      </c>
      <c r="BO49" s="133">
        <f t="shared" si="43"/>
        <v>103.00000000000001</v>
      </c>
      <c r="BP49" s="133">
        <f t="shared" si="44"/>
        <v>0</v>
      </c>
      <c r="BQ49" s="134">
        <f t="shared" si="60"/>
        <v>0</v>
      </c>
    </row>
    <row r="50" spans="1:69" x14ac:dyDescent="0.25">
      <c r="A50" t="s">
        <v>137</v>
      </c>
      <c r="B50" t="s">
        <v>383</v>
      </c>
      <c r="E50" s="152" t="str">
        <f>VLOOKUP(A50,Kleurtabel!$A$2:$F$822,6,FALSE)</f>
        <v>#80F5F5F5</v>
      </c>
      <c r="F50" s="125">
        <f t="shared" si="116"/>
        <v>15</v>
      </c>
      <c r="G50" s="124">
        <f t="shared" si="116"/>
        <v>18</v>
      </c>
      <c r="H50" s="130">
        <f t="shared" si="45"/>
        <v>2.7992109794991871</v>
      </c>
      <c r="I50" s="131">
        <f t="shared" si="46"/>
        <v>5.5416886563511993E-2</v>
      </c>
      <c r="J50" s="130">
        <f t="shared" si="1"/>
        <v>16.431676725154979</v>
      </c>
      <c r="K50" s="133">
        <f t="shared" ref="K50:K83" si="120">EXP(H50+I50*I50/2)</f>
        <v>16.456927203347885</v>
      </c>
      <c r="L50" s="133">
        <f t="shared" ref="L50:L83" si="121">SQRT((EXP(I50*I50)-1)*EXP(2*H50+I50*I50))</f>
        <v>0.9126923049410256</v>
      </c>
      <c r="M50" s="134">
        <f t="shared" si="47"/>
        <v>5.545946054591247E-2</v>
      </c>
      <c r="N50" s="125">
        <f t="shared" si="117"/>
        <v>15</v>
      </c>
      <c r="O50" s="124">
        <f t="shared" si="117"/>
        <v>18</v>
      </c>
      <c r="P50" s="130">
        <f t="shared" si="48"/>
        <v>2.7992109794991871</v>
      </c>
      <c r="Q50" s="131">
        <f t="shared" si="49"/>
        <v>5.5416886563511993E-2</v>
      </c>
      <c r="R50" s="132">
        <f t="shared" si="50"/>
        <v>16.431676725154979</v>
      </c>
      <c r="S50" s="132">
        <f t="shared" ref="S50:S83" si="122">EXP(P50+Q50*Q50/2)</f>
        <v>16.456927203347885</v>
      </c>
      <c r="T50" s="133">
        <f t="shared" ref="T50:T83" si="123">SQRT((EXP(Q50*Q50)-1)*EXP(2*P50+Q50*Q50))</f>
        <v>0.9126923049410256</v>
      </c>
      <c r="U50" s="134">
        <f t="shared" si="51"/>
        <v>5.545946054591247E-2</v>
      </c>
      <c r="V50" s="155">
        <f t="shared" ref="V50:V83" si="124">VLOOKUP($A50,TABEL,V$10,FALSE)/2+AA50/2</f>
        <v>30.95</v>
      </c>
      <c r="W50" s="140">
        <f t="shared" si="52"/>
        <v>33.072180669348825</v>
      </c>
      <c r="X50" s="130">
        <f t="shared" ref="X50:X83" si="125">IF(V50="-","-",LN(AA50)-Y50*Y50/2)</f>
        <v>3.4655327324823864</v>
      </c>
      <c r="Y50" s="131">
        <f t="shared" ref="Y50:Y83" si="126">IF(V50="-","-",(SQRT(1.645^2+2*LN(AA50/V50))-1.645))</f>
        <v>2.015789261506451E-2</v>
      </c>
      <c r="Z50" s="130">
        <f t="shared" ref="Z50:Z83" si="127">IF(V50="-","-",EXP(X50))</f>
        <v>31.993499210251233</v>
      </c>
      <c r="AA50" s="128">
        <f t="shared" ref="AA50:AA83" si="128">VLOOKUP($A50,TABEL,AA$10,FALSE)</f>
        <v>32</v>
      </c>
      <c r="AB50" s="133">
        <f t="shared" ref="AB50:AB83" si="129">IF(V50="-","-",SQRT((EXP(Y50*Y50)-1)*EXP(2*X50+Y50*Y50)))</f>
        <v>0.64511809699671463</v>
      </c>
      <c r="AC50" s="134">
        <f t="shared" ref="AC50:AC83" si="130">IF(V50="-","-",AB50/AA50)</f>
        <v>2.0159940531147332E-2</v>
      </c>
      <c r="AD50" s="125">
        <f t="shared" ref="AD50:AD83" si="131">VLOOKUP($A50,TABEL,AD$10,FALSE)</f>
        <v>0.30599999999999999</v>
      </c>
      <c r="AE50" s="140">
        <f t="shared" si="53"/>
        <v>0.32416509461390947</v>
      </c>
      <c r="AF50" s="130">
        <f t="shared" ref="AF50:AF83" si="132">IF(AD50="-","-",LN(AI50)-AG50*AG50/2)</f>
        <v>-1.155336259359617</v>
      </c>
      <c r="AG50" s="131">
        <f t="shared" ref="AG50:AG83" si="133">IF(AD50="-","-",(SQRT(1.645^2+2*LN(AI50/AD50))-1.645))</f>
        <v>1.7528217428655957E-2</v>
      </c>
      <c r="AH50" s="130">
        <f t="shared" ref="AH50:AH83" si="134">IF(AD50="-","-",EXP(AF50))</f>
        <v>0.31495161366764945</v>
      </c>
      <c r="AI50" s="128">
        <f t="shared" ref="AI50:AI83" si="135">VLOOKUP($A50,TABEL,AI$10,FALSE)</f>
        <v>0.315</v>
      </c>
      <c r="AJ50" s="133">
        <f t="shared" ref="AJ50:AJ83" si="136">IF(AD50="-","-",SQRT((EXP(AG50*AG50)-1)*EXP(2*AF50+AG50*AG50)))</f>
        <v>5.5218126128229921E-3</v>
      </c>
      <c r="AK50" s="134">
        <f t="shared" ref="AK50:AK83" si="137">IF(AD50="-","-",AJ50/AI50)</f>
        <v>1.752956385023172E-2</v>
      </c>
      <c r="AL50" s="125">
        <f t="shared" ref="AL50:AL83" si="138">VLOOKUP($A50,TABEL,AL$10,FALSE)</f>
        <v>0.89100000000000001</v>
      </c>
      <c r="AM50" s="140">
        <f t="shared" si="54"/>
        <v>0.90905710104543691</v>
      </c>
      <c r="AN50" s="130">
        <f t="shared" ref="AN50:AN83" si="139">IF(AL50="-","-",LN(AQ50)-AO50*AO50/2)</f>
        <v>-0.10537911042859724</v>
      </c>
      <c r="AO50" s="131">
        <f t="shared" ref="AO50:AO83" si="140">IF(AL50="-","-",(SQRT(1.645^2+2*LN(AQ50/AL50))-1.645))</f>
        <v>6.0983228466446882E-3</v>
      </c>
      <c r="AP50" s="130">
        <f t="shared" ref="AP50:AP83" si="141">IF(AL50="-","-",EXP(AN50))</f>
        <v>0.89998326486189961</v>
      </c>
      <c r="AQ50" s="128">
        <f t="shared" ref="AQ50:AQ83" si="142">VLOOKUP($A50,TABEL,AQ$10,FALSE)</f>
        <v>0.9</v>
      </c>
      <c r="AR50" s="133">
        <f t="shared" ref="AR50:AR83" si="143">IF(AL50="-","-",SQRT((EXP(AO50*AO50)-1)*EXP(2*AN50+AO50*AO50)))</f>
        <v>5.4885415909943875E-3</v>
      </c>
      <c r="AS50" s="134">
        <f t="shared" ref="AS50:AS83" si="144">IF(AL50="-","-",AR50/AQ50)</f>
        <v>6.0983795455493194E-3</v>
      </c>
      <c r="AT50" s="125">
        <f t="shared" ref="AT50:AT83" si="145">VLOOKUP($A50,TABEL,AT$10,FALSE)</f>
        <v>5.67</v>
      </c>
      <c r="AU50" s="140">
        <f t="shared" si="55"/>
        <v>38.585736192824157</v>
      </c>
      <c r="AV50" s="130">
        <f t="shared" ref="AV50:AV83" si="146">IF(AT50="-","-",LN(AY50)-AW50*AW50/2)</f>
        <v>2.694035898617293</v>
      </c>
      <c r="AW50" s="131">
        <f t="shared" ref="AW50:AW83" si="147">IF(AT50="-","-",(SQRT(1.645^2+2*LN(AY50/AT50))-1.645))</f>
        <v>0.58288558108062727</v>
      </c>
      <c r="AX50" s="130">
        <f t="shared" ref="AX50:AX83" si="148">IF(AT50="-","-",EXP(AV50))</f>
        <v>14.791251610776996</v>
      </c>
      <c r="AY50" s="128">
        <f t="shared" ref="AY50:AY83" si="149">VLOOKUP($A50,TABEL,AY$10,FALSE)</f>
        <v>17.53</v>
      </c>
      <c r="AZ50" s="133">
        <f t="shared" ref="AZ50:AZ83" si="150">IF(AT50="-","-",SQRT((EXP(AW50*AW50)-1)*EXP(2*AV50+AW50*AW50)))</f>
        <v>11.150571937682336</v>
      </c>
      <c r="BA50" s="134">
        <f t="shared" ref="BA50:BA83" si="151">IF(AT50="-","-",AZ50/AY50)</f>
        <v>0.63608510768296267</v>
      </c>
      <c r="BB50" s="125">
        <f t="shared" si="35"/>
        <v>8</v>
      </c>
      <c r="BC50" s="140">
        <f t="shared" si="56"/>
        <v>7.9999999999999982</v>
      </c>
      <c r="BD50" s="130">
        <f t="shared" si="36"/>
        <v>2.0794415416798357</v>
      </c>
      <c r="BE50" s="131">
        <f t="shared" si="37"/>
        <v>0</v>
      </c>
      <c r="BF50" s="130">
        <f t="shared" si="38"/>
        <v>7.9999999999999982</v>
      </c>
      <c r="BG50" s="143">
        <f t="shared" si="57"/>
        <v>8</v>
      </c>
      <c r="BH50" s="133">
        <f t="shared" si="39"/>
        <v>0</v>
      </c>
      <c r="BI50" s="134">
        <f t="shared" si="40"/>
        <v>0</v>
      </c>
      <c r="BJ50" s="125">
        <f t="shared" si="118"/>
        <v>60</v>
      </c>
      <c r="BK50" s="124">
        <f t="shared" si="118"/>
        <v>100</v>
      </c>
      <c r="BL50" s="130">
        <f t="shared" si="58"/>
        <v>4.3497573741050957</v>
      </c>
      <c r="BM50" s="131">
        <f t="shared" si="59"/>
        <v>0.15526614704133476</v>
      </c>
      <c r="BN50" s="130">
        <f t="shared" si="42"/>
        <v>77.459666924148308</v>
      </c>
      <c r="BO50" s="133">
        <f t="shared" si="43"/>
        <v>78.398999227036953</v>
      </c>
      <c r="BP50" s="133">
        <f t="shared" si="44"/>
        <v>12.24644397761314</v>
      </c>
      <c r="BQ50" s="134">
        <f t="shared" si="60"/>
        <v>0.15620663654326072</v>
      </c>
    </row>
    <row r="51" spans="1:69" x14ac:dyDescent="0.25">
      <c r="A51" t="s">
        <v>140</v>
      </c>
      <c r="B51" t="s">
        <v>383</v>
      </c>
      <c r="E51" s="152" t="str">
        <f>VLOOKUP(A51,Kleurtabel!$A$2:$F$822,6,FALSE)</f>
        <v>#80F5F5F5</v>
      </c>
      <c r="F51" s="125">
        <f t="shared" si="116"/>
        <v>14</v>
      </c>
      <c r="G51" s="124">
        <f t="shared" si="116"/>
        <v>17</v>
      </c>
      <c r="H51" s="130">
        <f t="shared" si="45"/>
        <v>2.7361353368357371</v>
      </c>
      <c r="I51" s="131">
        <f t="shared" si="46"/>
        <v>5.9013986152266794E-2</v>
      </c>
      <c r="J51" s="130">
        <f t="shared" si="1"/>
        <v>15.427248620541508</v>
      </c>
      <c r="K51" s="133">
        <f t="shared" si="120"/>
        <v>15.454135881517129</v>
      </c>
      <c r="L51" s="133">
        <f t="shared" si="121"/>
        <v>0.91280479050996322</v>
      </c>
      <c r="M51" s="134">
        <f t="shared" si="47"/>
        <v>5.9065404724547653E-2</v>
      </c>
      <c r="N51" s="125">
        <f t="shared" si="117"/>
        <v>14</v>
      </c>
      <c r="O51" s="124">
        <f t="shared" si="117"/>
        <v>17</v>
      </c>
      <c r="P51" s="130">
        <f t="shared" si="48"/>
        <v>2.7361353368357371</v>
      </c>
      <c r="Q51" s="131">
        <f t="shared" si="49"/>
        <v>5.9013986152266794E-2</v>
      </c>
      <c r="R51" s="132">
        <f t="shared" si="50"/>
        <v>15.427248620541508</v>
      </c>
      <c r="S51" s="132">
        <f t="shared" si="122"/>
        <v>15.454135881517129</v>
      </c>
      <c r="T51" s="133">
        <f t="shared" si="123"/>
        <v>0.91280479050996322</v>
      </c>
      <c r="U51" s="134">
        <f t="shared" si="51"/>
        <v>5.9065404724547653E-2</v>
      </c>
      <c r="V51" s="155">
        <f t="shared" si="124"/>
        <v>38</v>
      </c>
      <c r="W51" s="140">
        <f t="shared" si="52"/>
        <v>46.255590667338396</v>
      </c>
      <c r="X51" s="130">
        <f t="shared" si="125"/>
        <v>3.7358842478366552</v>
      </c>
      <c r="Y51" s="131">
        <f t="shared" si="126"/>
        <v>5.975567666277759E-2</v>
      </c>
      <c r="Z51" s="130">
        <f t="shared" si="127"/>
        <v>41.925081339919423</v>
      </c>
      <c r="AA51" s="128">
        <f t="shared" si="128"/>
        <v>42</v>
      </c>
      <c r="AB51" s="133">
        <f t="shared" si="129"/>
        <v>2.5119804937796721</v>
      </c>
      <c r="AC51" s="134">
        <f t="shared" si="130"/>
        <v>5.9809059375706478E-2</v>
      </c>
      <c r="AD51" s="125">
        <f t="shared" si="131"/>
        <v>0.30599999999999999</v>
      </c>
      <c r="AE51" s="140">
        <f t="shared" si="53"/>
        <v>0.32416509461390947</v>
      </c>
      <c r="AF51" s="130">
        <f t="shared" si="132"/>
        <v>-1.155336259359617</v>
      </c>
      <c r="AG51" s="131">
        <f t="shared" si="133"/>
        <v>1.7528217428655957E-2</v>
      </c>
      <c r="AH51" s="130">
        <f t="shared" si="134"/>
        <v>0.31495161366764945</v>
      </c>
      <c r="AI51" s="128">
        <f t="shared" si="135"/>
        <v>0.315</v>
      </c>
      <c r="AJ51" s="133">
        <f t="shared" si="136"/>
        <v>5.5218126128229921E-3</v>
      </c>
      <c r="AK51" s="134">
        <f t="shared" si="137"/>
        <v>1.752956385023172E-2</v>
      </c>
      <c r="AL51" s="125">
        <f t="shared" si="138"/>
        <v>0.89100000000000001</v>
      </c>
      <c r="AM51" s="140">
        <f t="shared" si="54"/>
        <v>0.90905710104543691</v>
      </c>
      <c r="AN51" s="130">
        <f t="shared" si="139"/>
        <v>-0.10537911042859724</v>
      </c>
      <c r="AO51" s="131">
        <f t="shared" si="140"/>
        <v>6.0983228466446882E-3</v>
      </c>
      <c r="AP51" s="130">
        <f t="shared" si="141"/>
        <v>0.89998326486189961</v>
      </c>
      <c r="AQ51" s="128">
        <f t="shared" si="142"/>
        <v>0.9</v>
      </c>
      <c r="AR51" s="133">
        <f t="shared" si="143"/>
        <v>5.4885415909943875E-3</v>
      </c>
      <c r="AS51" s="134">
        <f t="shared" si="144"/>
        <v>6.0983795455493194E-3</v>
      </c>
      <c r="AT51" s="125">
        <f t="shared" si="145"/>
        <v>5.67</v>
      </c>
      <c r="AU51" s="140">
        <f t="shared" si="55"/>
        <v>38.585736192824157</v>
      </c>
      <c r="AV51" s="130">
        <f t="shared" si="146"/>
        <v>2.694035898617293</v>
      </c>
      <c r="AW51" s="131">
        <f t="shared" si="147"/>
        <v>0.58288558108062727</v>
      </c>
      <c r="AX51" s="130">
        <f t="shared" si="148"/>
        <v>14.791251610776996</v>
      </c>
      <c r="AY51" s="128">
        <f t="shared" si="149"/>
        <v>17.53</v>
      </c>
      <c r="AZ51" s="133">
        <f t="shared" si="150"/>
        <v>11.150571937682336</v>
      </c>
      <c r="BA51" s="134">
        <f t="shared" si="151"/>
        <v>0.63608510768296267</v>
      </c>
      <c r="BB51" s="125">
        <f t="shared" si="35"/>
        <v>6</v>
      </c>
      <c r="BC51" s="140">
        <f t="shared" si="56"/>
        <v>6</v>
      </c>
      <c r="BD51" s="130">
        <f t="shared" si="36"/>
        <v>1.791759469228055</v>
      </c>
      <c r="BE51" s="131">
        <f t="shared" si="37"/>
        <v>0</v>
      </c>
      <c r="BF51" s="130">
        <f t="shared" si="38"/>
        <v>6</v>
      </c>
      <c r="BG51" s="143">
        <f t="shared" si="57"/>
        <v>6</v>
      </c>
      <c r="BH51" s="133">
        <f t="shared" si="39"/>
        <v>0</v>
      </c>
      <c r="BI51" s="134">
        <f t="shared" si="40"/>
        <v>0</v>
      </c>
      <c r="BJ51" s="125">
        <f t="shared" si="118"/>
        <v>60</v>
      </c>
      <c r="BK51" s="124">
        <f t="shared" si="118"/>
        <v>100</v>
      </c>
      <c r="BL51" s="130">
        <f t="shared" si="58"/>
        <v>4.3497573741050957</v>
      </c>
      <c r="BM51" s="131">
        <f t="shared" si="59"/>
        <v>0.15526614704133476</v>
      </c>
      <c r="BN51" s="130">
        <f t="shared" si="42"/>
        <v>77.459666924148308</v>
      </c>
      <c r="BO51" s="133">
        <f t="shared" si="43"/>
        <v>78.398999227036953</v>
      </c>
      <c r="BP51" s="133">
        <f t="shared" si="44"/>
        <v>12.24644397761314</v>
      </c>
      <c r="BQ51" s="134">
        <f t="shared" si="60"/>
        <v>0.15620663654326072</v>
      </c>
    </row>
    <row r="52" spans="1:69" x14ac:dyDescent="0.25">
      <c r="A52" t="s">
        <v>142</v>
      </c>
      <c r="B52" t="s">
        <v>383</v>
      </c>
      <c r="E52" s="152" t="str">
        <f>VLOOKUP(A52,Kleurtabel!$A$2:$F$822,6,FALSE)</f>
        <v>#80F5F5F5</v>
      </c>
      <c r="F52" s="125">
        <f t="shared" si="116"/>
        <v>13</v>
      </c>
      <c r="G52" s="124">
        <f t="shared" si="116"/>
        <v>15</v>
      </c>
      <c r="H52" s="130">
        <f t="shared" si="45"/>
        <v>2.6364997792818734</v>
      </c>
      <c r="I52" s="131">
        <f t="shared" si="46"/>
        <v>4.3495697155219858E-2</v>
      </c>
      <c r="J52" s="130">
        <f t="shared" si="1"/>
        <v>13.964240043768941</v>
      </c>
      <c r="K52" s="133">
        <f t="shared" si="120"/>
        <v>13.977455596330634</v>
      </c>
      <c r="L52" s="133">
        <f t="shared" si="121"/>
        <v>0.60824683477754204</v>
      </c>
      <c r="M52" s="134">
        <f t="shared" si="47"/>
        <v>4.3516277378639584E-2</v>
      </c>
      <c r="N52" s="125">
        <f t="shared" si="117"/>
        <v>13</v>
      </c>
      <c r="O52" s="124">
        <f t="shared" si="117"/>
        <v>15</v>
      </c>
      <c r="P52" s="130">
        <f t="shared" si="48"/>
        <v>2.6364997792818734</v>
      </c>
      <c r="Q52" s="131">
        <f t="shared" si="49"/>
        <v>4.3495697155219858E-2</v>
      </c>
      <c r="R52" s="132">
        <f t="shared" si="50"/>
        <v>13.964240043768941</v>
      </c>
      <c r="S52" s="132">
        <f t="shared" si="122"/>
        <v>13.977455596330634</v>
      </c>
      <c r="T52" s="133">
        <f t="shared" si="123"/>
        <v>0.60824683477754204</v>
      </c>
      <c r="U52" s="134">
        <f t="shared" si="51"/>
        <v>4.3516277378639584E-2</v>
      </c>
      <c r="V52" s="155">
        <f t="shared" si="124"/>
        <v>41</v>
      </c>
      <c r="W52" s="140">
        <f t="shared" si="52"/>
        <v>51.367990279019423</v>
      </c>
      <c r="X52" s="130">
        <f t="shared" si="125"/>
        <v>3.8262936439770425</v>
      </c>
      <c r="Y52" s="131">
        <f t="shared" si="126"/>
        <v>6.8523755180993851E-2</v>
      </c>
      <c r="Z52" s="130">
        <f t="shared" si="127"/>
        <v>45.892130059954674</v>
      </c>
      <c r="AA52" s="128">
        <f t="shared" si="128"/>
        <v>46</v>
      </c>
      <c r="AB52" s="133">
        <f t="shared" si="129"/>
        <v>3.1557965273137283</v>
      </c>
      <c r="AC52" s="134">
        <f t="shared" si="130"/>
        <v>6.860427233290714E-2</v>
      </c>
      <c r="AD52" s="125">
        <f t="shared" si="131"/>
        <v>0.30599999999999999</v>
      </c>
      <c r="AE52" s="140">
        <f t="shared" si="53"/>
        <v>0.32416509461390947</v>
      </c>
      <c r="AF52" s="130">
        <f t="shared" si="132"/>
        <v>-1.155336259359617</v>
      </c>
      <c r="AG52" s="131">
        <f t="shared" si="133"/>
        <v>1.7528217428655957E-2</v>
      </c>
      <c r="AH52" s="130">
        <f t="shared" si="134"/>
        <v>0.31495161366764945</v>
      </c>
      <c r="AI52" s="128">
        <f t="shared" si="135"/>
        <v>0.315</v>
      </c>
      <c r="AJ52" s="133">
        <f t="shared" si="136"/>
        <v>5.5218126128229921E-3</v>
      </c>
      <c r="AK52" s="134">
        <f t="shared" si="137"/>
        <v>1.752956385023172E-2</v>
      </c>
      <c r="AL52" s="125">
        <f t="shared" si="138"/>
        <v>0.89100000000000001</v>
      </c>
      <c r="AM52" s="140">
        <f t="shared" si="54"/>
        <v>0.90905710104543691</v>
      </c>
      <c r="AN52" s="130">
        <f t="shared" si="139"/>
        <v>-0.10537911042859724</v>
      </c>
      <c r="AO52" s="131">
        <f t="shared" si="140"/>
        <v>6.0983228466446882E-3</v>
      </c>
      <c r="AP52" s="130">
        <f t="shared" si="141"/>
        <v>0.89998326486189961</v>
      </c>
      <c r="AQ52" s="128">
        <f t="shared" si="142"/>
        <v>0.9</v>
      </c>
      <c r="AR52" s="133">
        <f t="shared" si="143"/>
        <v>5.4885415909943875E-3</v>
      </c>
      <c r="AS52" s="134">
        <f t="shared" si="144"/>
        <v>6.0983795455493194E-3</v>
      </c>
      <c r="AT52" s="125">
        <f t="shared" si="145"/>
        <v>5.67</v>
      </c>
      <c r="AU52" s="140">
        <f t="shared" si="55"/>
        <v>38.585736192824157</v>
      </c>
      <c r="AV52" s="130">
        <f t="shared" si="146"/>
        <v>2.694035898617293</v>
      </c>
      <c r="AW52" s="131">
        <f t="shared" si="147"/>
        <v>0.58288558108062727</v>
      </c>
      <c r="AX52" s="130">
        <f t="shared" si="148"/>
        <v>14.791251610776996</v>
      </c>
      <c r="AY52" s="128">
        <f t="shared" si="149"/>
        <v>17.53</v>
      </c>
      <c r="AZ52" s="133">
        <f t="shared" si="150"/>
        <v>11.150571937682336</v>
      </c>
      <c r="BA52" s="134">
        <f t="shared" si="151"/>
        <v>0.63608510768296267</v>
      </c>
      <c r="BB52" s="125">
        <f t="shared" si="35"/>
        <v>4.0999999999999996</v>
      </c>
      <c r="BC52" s="140">
        <f t="shared" si="56"/>
        <v>4.0999999999999996</v>
      </c>
      <c r="BD52" s="130">
        <f t="shared" si="36"/>
        <v>1.410986973710262</v>
      </c>
      <c r="BE52" s="131">
        <f t="shared" si="37"/>
        <v>0</v>
      </c>
      <c r="BF52" s="130">
        <f t="shared" si="38"/>
        <v>4.0999999999999996</v>
      </c>
      <c r="BG52" s="143">
        <f t="shared" si="57"/>
        <v>4.0999999999999996</v>
      </c>
      <c r="BH52" s="133">
        <f t="shared" si="39"/>
        <v>0</v>
      </c>
      <c r="BI52" s="134">
        <f t="shared" si="40"/>
        <v>0</v>
      </c>
      <c r="BJ52" s="125">
        <f t="shared" si="118"/>
        <v>45</v>
      </c>
      <c r="BK52" s="124">
        <f t="shared" si="118"/>
        <v>90</v>
      </c>
      <c r="BL52" s="130">
        <f t="shared" si="58"/>
        <v>4.1532360800502923</v>
      </c>
      <c r="BM52" s="131">
        <f t="shared" si="59"/>
        <v>0.21068303360484664</v>
      </c>
      <c r="BN52" s="130">
        <f t="shared" si="42"/>
        <v>63.639610306789272</v>
      </c>
      <c r="BO52" s="133">
        <f t="shared" si="43"/>
        <v>65.067796563300135</v>
      </c>
      <c r="BP52" s="133">
        <f t="shared" si="44"/>
        <v>13.862219888992817</v>
      </c>
      <c r="BQ52" s="134">
        <f t="shared" si="60"/>
        <v>0.21304271269593683</v>
      </c>
    </row>
    <row r="53" spans="1:69" x14ac:dyDescent="0.25">
      <c r="A53" t="s">
        <v>144</v>
      </c>
      <c r="B53" t="s">
        <v>383</v>
      </c>
      <c r="E53" s="152" t="str">
        <f>VLOOKUP(A53,Kleurtabel!$A$2:$F$822,6,FALSE)</f>
        <v>#00000000</v>
      </c>
      <c r="F53" s="125">
        <f t="shared" si="116"/>
        <v>13</v>
      </c>
      <c r="G53" s="124">
        <f t="shared" si="116"/>
        <v>15</v>
      </c>
      <c r="H53" s="130">
        <f t="shared" si="45"/>
        <v>2.6364997792818734</v>
      </c>
      <c r="I53" s="131">
        <f t="shared" si="46"/>
        <v>4.3495697155219858E-2</v>
      </c>
      <c r="J53" s="130">
        <f t="shared" si="1"/>
        <v>13.964240043768941</v>
      </c>
      <c r="K53" s="133">
        <f t="shared" si="120"/>
        <v>13.977455596330634</v>
      </c>
      <c r="L53" s="133">
        <f t="shared" si="121"/>
        <v>0.60824683477754204</v>
      </c>
      <c r="M53" s="134">
        <f t="shared" si="47"/>
        <v>4.3516277378639584E-2</v>
      </c>
      <c r="N53" s="125">
        <f t="shared" si="117"/>
        <v>13</v>
      </c>
      <c r="O53" s="124">
        <f t="shared" si="117"/>
        <v>15</v>
      </c>
      <c r="P53" s="130">
        <f t="shared" si="48"/>
        <v>2.6364997792818734</v>
      </c>
      <c r="Q53" s="131">
        <f t="shared" si="49"/>
        <v>4.3495697155219858E-2</v>
      </c>
      <c r="R53" s="132">
        <f t="shared" si="50"/>
        <v>13.964240043768941</v>
      </c>
      <c r="S53" s="132">
        <f t="shared" si="122"/>
        <v>13.977455596330634</v>
      </c>
      <c r="T53" s="133">
        <f t="shared" si="123"/>
        <v>0.60824683477754204</v>
      </c>
      <c r="U53" s="134">
        <f t="shared" si="51"/>
        <v>4.3516277378639584E-2</v>
      </c>
      <c r="V53" s="155">
        <f t="shared" si="124"/>
        <v>37</v>
      </c>
      <c r="W53" s="140">
        <f t="shared" si="52"/>
        <v>51.781071506430919</v>
      </c>
      <c r="X53" s="130">
        <f t="shared" si="125"/>
        <v>3.778971290097795</v>
      </c>
      <c r="Y53" s="131">
        <f t="shared" si="126"/>
        <v>0.10216010787451113</v>
      </c>
      <c r="Z53" s="130">
        <f t="shared" si="127"/>
        <v>43.77099091565033</v>
      </c>
      <c r="AA53" s="128">
        <f t="shared" si="128"/>
        <v>44</v>
      </c>
      <c r="AB53" s="133">
        <f t="shared" si="129"/>
        <v>4.5067986319898123</v>
      </c>
      <c r="AC53" s="134">
        <f t="shared" si="130"/>
        <v>0.10242724163613209</v>
      </c>
      <c r="AD53" s="125">
        <f t="shared" si="131"/>
        <v>0.30599999999999999</v>
      </c>
      <c r="AE53" s="140">
        <f t="shared" si="53"/>
        <v>0.32416509461390947</v>
      </c>
      <c r="AF53" s="130">
        <f t="shared" si="132"/>
        <v>-1.155336259359617</v>
      </c>
      <c r="AG53" s="131">
        <f t="shared" si="133"/>
        <v>1.7528217428655957E-2</v>
      </c>
      <c r="AH53" s="130">
        <f t="shared" si="134"/>
        <v>0.31495161366764945</v>
      </c>
      <c r="AI53" s="128">
        <f t="shared" si="135"/>
        <v>0.315</v>
      </c>
      <c r="AJ53" s="133">
        <f t="shared" si="136"/>
        <v>5.5218126128229921E-3</v>
      </c>
      <c r="AK53" s="134">
        <f t="shared" si="137"/>
        <v>1.752956385023172E-2</v>
      </c>
      <c r="AL53" s="125">
        <f t="shared" si="138"/>
        <v>0.89100000000000001</v>
      </c>
      <c r="AM53" s="140">
        <f t="shared" si="54"/>
        <v>0.90905710104543691</v>
      </c>
      <c r="AN53" s="130">
        <f t="shared" si="139"/>
        <v>-0.10537911042859724</v>
      </c>
      <c r="AO53" s="131">
        <f t="shared" si="140"/>
        <v>6.0983228466446882E-3</v>
      </c>
      <c r="AP53" s="130">
        <f t="shared" si="141"/>
        <v>0.89998326486189961</v>
      </c>
      <c r="AQ53" s="128">
        <f t="shared" si="142"/>
        <v>0.9</v>
      </c>
      <c r="AR53" s="133">
        <f t="shared" si="143"/>
        <v>5.4885415909943875E-3</v>
      </c>
      <c r="AS53" s="134">
        <f t="shared" si="144"/>
        <v>6.0983795455493194E-3</v>
      </c>
      <c r="AT53" s="125">
        <f t="shared" si="145"/>
        <v>5.67</v>
      </c>
      <c r="AU53" s="140">
        <f t="shared" si="55"/>
        <v>38.585736192824157</v>
      </c>
      <c r="AV53" s="130">
        <f t="shared" si="146"/>
        <v>2.694035898617293</v>
      </c>
      <c r="AW53" s="131">
        <f t="shared" si="147"/>
        <v>0.58288558108062727</v>
      </c>
      <c r="AX53" s="130">
        <f t="shared" si="148"/>
        <v>14.791251610776996</v>
      </c>
      <c r="AY53" s="128">
        <f t="shared" si="149"/>
        <v>17.53</v>
      </c>
      <c r="AZ53" s="133">
        <f t="shared" si="150"/>
        <v>11.150571937682336</v>
      </c>
      <c r="BA53" s="134">
        <f t="shared" si="151"/>
        <v>0.63608510768296267</v>
      </c>
      <c r="BB53" s="125">
        <f t="shared" si="35"/>
        <v>4.0999999999999996</v>
      </c>
      <c r="BC53" s="140">
        <f t="shared" si="56"/>
        <v>4.0999999999999996</v>
      </c>
      <c r="BD53" s="130">
        <f t="shared" si="36"/>
        <v>1.410986973710262</v>
      </c>
      <c r="BE53" s="131">
        <f t="shared" si="37"/>
        <v>0</v>
      </c>
      <c r="BF53" s="130">
        <f t="shared" si="38"/>
        <v>4.0999999999999996</v>
      </c>
      <c r="BG53" s="143">
        <f t="shared" si="57"/>
        <v>4.0999999999999996</v>
      </c>
      <c r="BH53" s="133">
        <f t="shared" si="39"/>
        <v>0</v>
      </c>
      <c r="BI53" s="134">
        <f t="shared" si="40"/>
        <v>0</v>
      </c>
      <c r="BJ53" s="125">
        <f t="shared" si="118"/>
        <v>45</v>
      </c>
      <c r="BK53" s="124">
        <f t="shared" si="118"/>
        <v>90</v>
      </c>
      <c r="BL53" s="130">
        <f t="shared" si="58"/>
        <v>4.1532360800502923</v>
      </c>
      <c r="BM53" s="131">
        <f t="shared" si="59"/>
        <v>0.21068303360484664</v>
      </c>
      <c r="BN53" s="130">
        <f t="shared" si="42"/>
        <v>63.639610306789272</v>
      </c>
      <c r="BO53" s="133">
        <f t="shared" si="43"/>
        <v>65.067796563300135</v>
      </c>
      <c r="BP53" s="133">
        <f t="shared" si="44"/>
        <v>13.862219888992817</v>
      </c>
      <c r="BQ53" s="134">
        <f t="shared" si="60"/>
        <v>0.21304271269593683</v>
      </c>
    </row>
    <row r="54" spans="1:69" x14ac:dyDescent="0.25">
      <c r="A54" t="s">
        <v>149</v>
      </c>
      <c r="B54" t="s">
        <v>377</v>
      </c>
      <c r="E54" s="152" t="str">
        <f>VLOOKUP(A54,Kleurtabel!$A$2:$F$822,6,FALSE)</f>
        <v>#00000000</v>
      </c>
      <c r="F54" s="125">
        <f t="shared" si="116"/>
        <v>18</v>
      </c>
      <c r="G54" s="124">
        <f t="shared" si="116"/>
        <v>19</v>
      </c>
      <c r="H54" s="130">
        <f t="shared" si="45"/>
        <v>2.9174053685313024</v>
      </c>
      <c r="I54" s="131">
        <f t="shared" si="46"/>
        <v>1.6433805857226671E-2</v>
      </c>
      <c r="J54" s="130">
        <f t="shared" si="1"/>
        <v>18.493242008906925</v>
      </c>
      <c r="K54" s="133">
        <f t="shared" si="120"/>
        <v>18.495739412224619</v>
      </c>
      <c r="L54" s="133">
        <f t="shared" si="121"/>
        <v>0.30397591414727615</v>
      </c>
      <c r="M54" s="134">
        <f t="shared" si="47"/>
        <v>1.6434915489043144E-2</v>
      </c>
      <c r="N54" s="125">
        <f t="shared" si="117"/>
        <v>20</v>
      </c>
      <c r="O54" s="124">
        <f t="shared" si="117"/>
        <v>21</v>
      </c>
      <c r="P54" s="130">
        <f t="shared" si="48"/>
        <v>3.0201273556387069</v>
      </c>
      <c r="Q54" s="131">
        <f t="shared" si="49"/>
        <v>1.4829837133566006E-2</v>
      </c>
      <c r="R54" s="132">
        <f t="shared" si="50"/>
        <v>20.493901531919196</v>
      </c>
      <c r="S54" s="132">
        <f t="shared" si="122"/>
        <v>20.496155206937743</v>
      </c>
      <c r="T54" s="133">
        <f t="shared" si="123"/>
        <v>0.30397135608439629</v>
      </c>
      <c r="U54" s="134">
        <f t="shared" si="51"/>
        <v>1.4830652530456298E-2</v>
      </c>
      <c r="V54" s="155">
        <f t="shared" si="124"/>
        <v>30.95</v>
      </c>
      <c r="W54" s="140">
        <f t="shared" si="52"/>
        <v>33.072180669348825</v>
      </c>
      <c r="X54" s="130">
        <f t="shared" si="125"/>
        <v>3.4655327324823864</v>
      </c>
      <c r="Y54" s="131">
        <f t="shared" si="126"/>
        <v>2.015789261506451E-2</v>
      </c>
      <c r="Z54" s="130">
        <f t="shared" si="127"/>
        <v>31.993499210251233</v>
      </c>
      <c r="AA54" s="128">
        <f t="shared" si="128"/>
        <v>32</v>
      </c>
      <c r="AB54" s="133">
        <f t="shared" si="129"/>
        <v>0.64511809699671463</v>
      </c>
      <c r="AC54" s="134">
        <f t="shared" si="130"/>
        <v>2.0159940531147332E-2</v>
      </c>
      <c r="AD54" s="125" t="str">
        <f t="shared" si="131"/>
        <v>-</v>
      </c>
      <c r="AE54" s="140" t="str">
        <f t="shared" si="53"/>
        <v>-</v>
      </c>
      <c r="AF54" s="130" t="str">
        <f t="shared" si="132"/>
        <v>-</v>
      </c>
      <c r="AG54" s="131" t="str">
        <f t="shared" si="133"/>
        <v>-</v>
      </c>
      <c r="AH54" s="130" t="str">
        <f t="shared" si="134"/>
        <v>-</v>
      </c>
      <c r="AI54" s="128" t="str">
        <f t="shared" si="135"/>
        <v>-</v>
      </c>
      <c r="AJ54" s="133" t="str">
        <f t="shared" si="136"/>
        <v>-</v>
      </c>
      <c r="AK54" s="134" t="str">
        <f t="shared" si="137"/>
        <v>-</v>
      </c>
      <c r="AL54" s="125" t="str">
        <f t="shared" si="138"/>
        <v>-</v>
      </c>
      <c r="AM54" s="140" t="str">
        <f t="shared" si="54"/>
        <v>-</v>
      </c>
      <c r="AN54" s="130" t="str">
        <f t="shared" si="139"/>
        <v>-</v>
      </c>
      <c r="AO54" s="131" t="str">
        <f t="shared" si="140"/>
        <v>-</v>
      </c>
      <c r="AP54" s="130" t="str">
        <f t="shared" si="141"/>
        <v>-</v>
      </c>
      <c r="AQ54" s="128" t="str">
        <f t="shared" si="142"/>
        <v>-</v>
      </c>
      <c r="AR54" s="133" t="str">
        <f t="shared" si="143"/>
        <v>-</v>
      </c>
      <c r="AS54" s="134" t="str">
        <f t="shared" si="144"/>
        <v>-</v>
      </c>
      <c r="AT54" s="125" t="str">
        <f t="shared" si="145"/>
        <v>-</v>
      </c>
      <c r="AU54" s="140" t="str">
        <f t="shared" si="55"/>
        <v>-</v>
      </c>
      <c r="AV54" s="130" t="str">
        <f t="shared" si="146"/>
        <v>-</v>
      </c>
      <c r="AW54" s="131" t="str">
        <f t="shared" si="147"/>
        <v>-</v>
      </c>
      <c r="AX54" s="130" t="str">
        <f t="shared" si="148"/>
        <v>-</v>
      </c>
      <c r="AY54" s="128" t="str">
        <f t="shared" si="149"/>
        <v>-</v>
      </c>
      <c r="AZ54" s="133" t="str">
        <f t="shared" si="150"/>
        <v>-</v>
      </c>
      <c r="BA54" s="134" t="str">
        <f t="shared" si="151"/>
        <v>-</v>
      </c>
      <c r="BB54" s="125" t="str">
        <f t="shared" si="35"/>
        <v>-</v>
      </c>
      <c r="BC54" s="140" t="str">
        <f t="shared" si="56"/>
        <v>-</v>
      </c>
      <c r="BD54" s="130" t="str">
        <f t="shared" si="36"/>
        <v>-</v>
      </c>
      <c r="BE54" s="131" t="str">
        <f t="shared" si="37"/>
        <v>-</v>
      </c>
      <c r="BF54" s="130" t="str">
        <f t="shared" si="38"/>
        <v>-</v>
      </c>
      <c r="BG54" s="143" t="str">
        <f t="shared" si="57"/>
        <v>-</v>
      </c>
      <c r="BH54" s="133" t="str">
        <f t="shared" si="39"/>
        <v>-</v>
      </c>
      <c r="BI54" s="134" t="str">
        <f t="shared" si="40"/>
        <v>-</v>
      </c>
      <c r="BJ54" s="125">
        <f t="shared" si="118"/>
        <v>103</v>
      </c>
      <c r="BK54" s="124">
        <f t="shared" si="118"/>
        <v>103</v>
      </c>
      <c r="BL54" s="130">
        <f t="shared" si="58"/>
        <v>4.6347289882296359</v>
      </c>
      <c r="BM54" s="131">
        <f t="shared" si="59"/>
        <v>0</v>
      </c>
      <c r="BN54" s="130">
        <f t="shared" si="42"/>
        <v>103.00000000000001</v>
      </c>
      <c r="BO54" s="133">
        <f t="shared" si="43"/>
        <v>103.00000000000001</v>
      </c>
      <c r="BP54" s="133">
        <f t="shared" si="44"/>
        <v>0</v>
      </c>
      <c r="BQ54" s="134">
        <f t="shared" si="60"/>
        <v>0</v>
      </c>
    </row>
    <row r="55" spans="1:69" x14ac:dyDescent="0.25">
      <c r="A55" t="s">
        <v>150</v>
      </c>
      <c r="B55" t="s">
        <v>377</v>
      </c>
      <c r="E55" s="152" t="str">
        <f>VLOOKUP(A55,Kleurtabel!$A$2:$F$822,6,FALSE)</f>
        <v>#00000000</v>
      </c>
      <c r="F55" s="125">
        <f t="shared" si="116"/>
        <v>18</v>
      </c>
      <c r="G55" s="124">
        <f t="shared" si="116"/>
        <v>19</v>
      </c>
      <c r="H55" s="130">
        <f t="shared" si="45"/>
        <v>2.9174053685313024</v>
      </c>
      <c r="I55" s="131">
        <f t="shared" si="46"/>
        <v>1.6433805857226671E-2</v>
      </c>
      <c r="J55" s="130">
        <f t="shared" si="1"/>
        <v>18.493242008906925</v>
      </c>
      <c r="K55" s="133">
        <f t="shared" si="120"/>
        <v>18.495739412224619</v>
      </c>
      <c r="L55" s="133">
        <f t="shared" si="121"/>
        <v>0.30397591414727615</v>
      </c>
      <c r="M55" s="134">
        <f t="shared" si="47"/>
        <v>1.6434915489043144E-2</v>
      </c>
      <c r="N55" s="125">
        <f t="shared" si="117"/>
        <v>20</v>
      </c>
      <c r="O55" s="124">
        <f t="shared" si="117"/>
        <v>21</v>
      </c>
      <c r="P55" s="130">
        <f t="shared" si="48"/>
        <v>3.0201273556387069</v>
      </c>
      <c r="Q55" s="131">
        <f t="shared" si="49"/>
        <v>1.4829837133566006E-2</v>
      </c>
      <c r="R55" s="132">
        <f t="shared" si="50"/>
        <v>20.493901531919196</v>
      </c>
      <c r="S55" s="132">
        <f t="shared" si="122"/>
        <v>20.496155206937743</v>
      </c>
      <c r="T55" s="133">
        <f t="shared" si="123"/>
        <v>0.30397135608439629</v>
      </c>
      <c r="U55" s="134">
        <f t="shared" si="51"/>
        <v>1.4830652530456298E-2</v>
      </c>
      <c r="V55" s="155">
        <f t="shared" si="124"/>
        <v>30.95</v>
      </c>
      <c r="W55" s="140">
        <f t="shared" si="52"/>
        <v>33.072180669348825</v>
      </c>
      <c r="X55" s="130">
        <f t="shared" si="125"/>
        <v>3.4655327324823864</v>
      </c>
      <c r="Y55" s="131">
        <f t="shared" si="126"/>
        <v>2.015789261506451E-2</v>
      </c>
      <c r="Z55" s="130">
        <f t="shared" si="127"/>
        <v>31.993499210251233</v>
      </c>
      <c r="AA55" s="128">
        <f t="shared" si="128"/>
        <v>32</v>
      </c>
      <c r="AB55" s="133">
        <f t="shared" si="129"/>
        <v>0.64511809699671463</v>
      </c>
      <c r="AC55" s="134">
        <f t="shared" si="130"/>
        <v>2.0159940531147332E-2</v>
      </c>
      <c r="AD55" s="125" t="str">
        <f t="shared" si="131"/>
        <v>-</v>
      </c>
      <c r="AE55" s="140" t="str">
        <f t="shared" si="53"/>
        <v>-</v>
      </c>
      <c r="AF55" s="130" t="str">
        <f t="shared" si="132"/>
        <v>-</v>
      </c>
      <c r="AG55" s="131" t="str">
        <f t="shared" si="133"/>
        <v>-</v>
      </c>
      <c r="AH55" s="130" t="str">
        <f t="shared" si="134"/>
        <v>-</v>
      </c>
      <c r="AI55" s="128" t="str">
        <f t="shared" si="135"/>
        <v>-</v>
      </c>
      <c r="AJ55" s="133" t="str">
        <f t="shared" si="136"/>
        <v>-</v>
      </c>
      <c r="AK55" s="134" t="str">
        <f t="shared" si="137"/>
        <v>-</v>
      </c>
      <c r="AL55" s="125" t="str">
        <f t="shared" si="138"/>
        <v>-</v>
      </c>
      <c r="AM55" s="140" t="str">
        <f t="shared" si="54"/>
        <v>-</v>
      </c>
      <c r="AN55" s="130" t="str">
        <f t="shared" si="139"/>
        <v>-</v>
      </c>
      <c r="AO55" s="131" t="str">
        <f t="shared" si="140"/>
        <v>-</v>
      </c>
      <c r="AP55" s="130" t="str">
        <f t="shared" si="141"/>
        <v>-</v>
      </c>
      <c r="AQ55" s="128" t="str">
        <f t="shared" si="142"/>
        <v>-</v>
      </c>
      <c r="AR55" s="133" t="str">
        <f t="shared" si="143"/>
        <v>-</v>
      </c>
      <c r="AS55" s="134" t="str">
        <f t="shared" si="144"/>
        <v>-</v>
      </c>
      <c r="AT55" s="125" t="str">
        <f t="shared" si="145"/>
        <v>-</v>
      </c>
      <c r="AU55" s="140" t="str">
        <f t="shared" si="55"/>
        <v>-</v>
      </c>
      <c r="AV55" s="130" t="str">
        <f t="shared" si="146"/>
        <v>-</v>
      </c>
      <c r="AW55" s="131" t="str">
        <f t="shared" si="147"/>
        <v>-</v>
      </c>
      <c r="AX55" s="130" t="str">
        <f t="shared" si="148"/>
        <v>-</v>
      </c>
      <c r="AY55" s="128" t="str">
        <f t="shared" si="149"/>
        <v>-</v>
      </c>
      <c r="AZ55" s="133" t="str">
        <f t="shared" si="150"/>
        <v>-</v>
      </c>
      <c r="BA55" s="134" t="str">
        <f t="shared" si="151"/>
        <v>-</v>
      </c>
      <c r="BB55" s="125" t="str">
        <f t="shared" si="35"/>
        <v>-</v>
      </c>
      <c r="BC55" s="140" t="str">
        <f t="shared" si="56"/>
        <v>-</v>
      </c>
      <c r="BD55" s="130" t="str">
        <f t="shared" si="36"/>
        <v>-</v>
      </c>
      <c r="BE55" s="131" t="str">
        <f t="shared" si="37"/>
        <v>-</v>
      </c>
      <c r="BF55" s="130" t="str">
        <f t="shared" si="38"/>
        <v>-</v>
      </c>
      <c r="BG55" s="143" t="str">
        <f t="shared" si="57"/>
        <v>-</v>
      </c>
      <c r="BH55" s="133" t="str">
        <f t="shared" si="39"/>
        <v>-</v>
      </c>
      <c r="BI55" s="134" t="str">
        <f t="shared" si="40"/>
        <v>-</v>
      </c>
      <c r="BJ55" s="125">
        <f t="shared" si="118"/>
        <v>103</v>
      </c>
      <c r="BK55" s="124">
        <f t="shared" si="118"/>
        <v>103</v>
      </c>
      <c r="BL55" s="130">
        <f t="shared" si="58"/>
        <v>4.6347289882296359</v>
      </c>
      <c r="BM55" s="131">
        <f t="shared" si="59"/>
        <v>0</v>
      </c>
      <c r="BN55" s="130">
        <f t="shared" si="42"/>
        <v>103.00000000000001</v>
      </c>
      <c r="BO55" s="133">
        <f t="shared" si="43"/>
        <v>103.00000000000001</v>
      </c>
      <c r="BP55" s="133">
        <f t="shared" si="44"/>
        <v>0</v>
      </c>
      <c r="BQ55" s="134">
        <f t="shared" si="60"/>
        <v>0</v>
      </c>
    </row>
    <row r="56" spans="1:69" x14ac:dyDescent="0.25">
      <c r="A56" t="s">
        <v>152</v>
      </c>
      <c r="B56" s="123" t="s">
        <v>376</v>
      </c>
      <c r="E56" s="152" t="str">
        <f>VLOOKUP(A56,Kleurtabel!$A$2:$F$822,6,FALSE)</f>
        <v>#8000D6A3</v>
      </c>
      <c r="F56" s="125">
        <f t="shared" si="116"/>
        <v>15</v>
      </c>
      <c r="G56" s="124">
        <f t="shared" si="116"/>
        <v>18</v>
      </c>
      <c r="H56" s="130">
        <f t="shared" si="45"/>
        <v>2.7992109794991871</v>
      </c>
      <c r="I56" s="131">
        <f t="shared" si="46"/>
        <v>5.5416886563511993E-2</v>
      </c>
      <c r="J56" s="130">
        <f t="shared" si="1"/>
        <v>16.431676725154979</v>
      </c>
      <c r="K56" s="133">
        <f t="shared" si="120"/>
        <v>16.456927203347885</v>
      </c>
      <c r="L56" s="133">
        <f t="shared" si="121"/>
        <v>0.9126923049410256</v>
      </c>
      <c r="M56" s="134">
        <f t="shared" si="47"/>
        <v>5.545946054591247E-2</v>
      </c>
      <c r="N56" s="125">
        <f t="shared" si="117"/>
        <v>15</v>
      </c>
      <c r="O56" s="124">
        <f t="shared" si="117"/>
        <v>18</v>
      </c>
      <c r="P56" s="130">
        <f t="shared" si="48"/>
        <v>2.7992109794991871</v>
      </c>
      <c r="Q56" s="131">
        <f t="shared" si="49"/>
        <v>5.5416886563511993E-2</v>
      </c>
      <c r="R56" s="132">
        <f t="shared" si="50"/>
        <v>16.431676725154979</v>
      </c>
      <c r="S56" s="132">
        <f t="shared" si="122"/>
        <v>16.456927203347885</v>
      </c>
      <c r="T56" s="133">
        <f t="shared" si="123"/>
        <v>0.9126923049410256</v>
      </c>
      <c r="U56" s="134">
        <f t="shared" si="51"/>
        <v>5.545946054591247E-2</v>
      </c>
      <c r="V56" s="155">
        <f t="shared" si="124"/>
        <v>38</v>
      </c>
      <c r="W56" s="140">
        <f t="shared" si="52"/>
        <v>46.255590667338396</v>
      </c>
      <c r="X56" s="130">
        <f t="shared" si="125"/>
        <v>3.7358842478366552</v>
      </c>
      <c r="Y56" s="131">
        <f t="shared" si="126"/>
        <v>5.975567666277759E-2</v>
      </c>
      <c r="Z56" s="130">
        <f t="shared" si="127"/>
        <v>41.925081339919423</v>
      </c>
      <c r="AA56" s="128">
        <f t="shared" si="128"/>
        <v>42</v>
      </c>
      <c r="AB56" s="133">
        <f t="shared" si="129"/>
        <v>2.5119804937796721</v>
      </c>
      <c r="AC56" s="134">
        <f t="shared" si="130"/>
        <v>5.9809059375706478E-2</v>
      </c>
      <c r="AD56" s="125">
        <f t="shared" si="131"/>
        <v>0.28100000000000003</v>
      </c>
      <c r="AE56" s="140">
        <f t="shared" si="53"/>
        <v>0.29917961173681679</v>
      </c>
      <c r="AF56" s="130">
        <f t="shared" si="132"/>
        <v>-1.2380558937214354</v>
      </c>
      <c r="AG56" s="131">
        <f t="shared" si="133"/>
        <v>1.9054538557419898E-2</v>
      </c>
      <c r="AH56" s="130">
        <f t="shared" si="134"/>
        <v>0.28994735883957545</v>
      </c>
      <c r="AI56" s="128">
        <f t="shared" si="135"/>
        <v>0.28999999999999998</v>
      </c>
      <c r="AJ56" s="133">
        <f t="shared" si="136"/>
        <v>5.52631779162778E-3</v>
      </c>
      <c r="AK56" s="134">
        <f t="shared" si="137"/>
        <v>1.9056268246992348E-2</v>
      </c>
      <c r="AL56" s="125">
        <f t="shared" si="138"/>
        <v>0.89200000000000002</v>
      </c>
      <c r="AM56" s="140">
        <f t="shared" si="54"/>
        <v>0.90804508506493276</v>
      </c>
      <c r="AN56" s="130">
        <f t="shared" si="139"/>
        <v>-0.10537519743021823</v>
      </c>
      <c r="AO56" s="131">
        <f t="shared" si="140"/>
        <v>5.4188139646866862E-3</v>
      </c>
      <c r="AP56" s="130">
        <f t="shared" si="141"/>
        <v>0.89998678650184627</v>
      </c>
      <c r="AQ56" s="128">
        <f t="shared" si="142"/>
        <v>0.9</v>
      </c>
      <c r="AR56" s="133">
        <f t="shared" si="143"/>
        <v>4.8769683694481559E-3</v>
      </c>
      <c r="AS56" s="134">
        <f t="shared" si="144"/>
        <v>5.4188537438312843E-3</v>
      </c>
      <c r="AT56" s="125">
        <f t="shared" si="145"/>
        <v>11.57</v>
      </c>
      <c r="AU56" s="140">
        <f t="shared" si="55"/>
        <v>36.715039080961702</v>
      </c>
      <c r="AV56" s="130">
        <f t="shared" si="146"/>
        <v>3.0258009982749376</v>
      </c>
      <c r="AW56" s="131">
        <f t="shared" si="147"/>
        <v>0.35099419882635408</v>
      </c>
      <c r="AX56" s="130">
        <f t="shared" si="148"/>
        <v>20.610507081746601</v>
      </c>
      <c r="AY56" s="128">
        <f t="shared" si="149"/>
        <v>21.92</v>
      </c>
      <c r="AZ56" s="133">
        <f t="shared" si="150"/>
        <v>7.9369515704755926</v>
      </c>
      <c r="BA56" s="134">
        <f t="shared" si="151"/>
        <v>0.36208720668228067</v>
      </c>
      <c r="BB56" s="125">
        <f t="shared" si="35"/>
        <v>8</v>
      </c>
      <c r="BC56" s="140">
        <f t="shared" si="56"/>
        <v>7.9999999999999982</v>
      </c>
      <c r="BD56" s="130">
        <f t="shared" si="36"/>
        <v>2.0794415416798357</v>
      </c>
      <c r="BE56" s="131">
        <f t="shared" si="37"/>
        <v>0</v>
      </c>
      <c r="BF56" s="130">
        <f t="shared" si="38"/>
        <v>7.9999999999999982</v>
      </c>
      <c r="BG56" s="143">
        <f t="shared" si="57"/>
        <v>8</v>
      </c>
      <c r="BH56" s="133">
        <f t="shared" si="39"/>
        <v>0</v>
      </c>
      <c r="BI56" s="134">
        <f t="shared" si="40"/>
        <v>0</v>
      </c>
      <c r="BJ56" s="125">
        <f t="shared" si="118"/>
        <v>45</v>
      </c>
      <c r="BK56" s="124">
        <f t="shared" si="118"/>
        <v>90</v>
      </c>
      <c r="BL56" s="130">
        <f t="shared" si="58"/>
        <v>4.1532360800502923</v>
      </c>
      <c r="BM56" s="131">
        <f t="shared" si="59"/>
        <v>0.21068303360484664</v>
      </c>
      <c r="BN56" s="130">
        <f t="shared" si="42"/>
        <v>63.639610306789272</v>
      </c>
      <c r="BO56" s="133">
        <f t="shared" si="43"/>
        <v>65.067796563300135</v>
      </c>
      <c r="BP56" s="133">
        <f t="shared" si="44"/>
        <v>13.862219888992817</v>
      </c>
      <c r="BQ56" s="134">
        <f t="shared" si="60"/>
        <v>0.21304271269593683</v>
      </c>
    </row>
    <row r="57" spans="1:69" x14ac:dyDescent="0.25">
      <c r="A57" t="s">
        <v>154</v>
      </c>
      <c r="B57" t="s">
        <v>377</v>
      </c>
      <c r="E57" s="152" t="str">
        <f>VLOOKUP(A57,Kleurtabel!$A$2:$F$822,6,FALSE)</f>
        <v>#80FF9900</v>
      </c>
      <c r="F57" s="125">
        <f t="shared" si="116"/>
        <v>18</v>
      </c>
      <c r="G57" s="124">
        <f t="shared" si="116"/>
        <v>19</v>
      </c>
      <c r="H57" s="130">
        <f t="shared" si="45"/>
        <v>2.9174053685313024</v>
      </c>
      <c r="I57" s="131">
        <f t="shared" si="46"/>
        <v>1.6433805857226671E-2</v>
      </c>
      <c r="J57" s="130">
        <f t="shared" si="1"/>
        <v>18.493242008906925</v>
      </c>
      <c r="K57" s="133">
        <f t="shared" si="120"/>
        <v>18.495739412224619</v>
      </c>
      <c r="L57" s="133">
        <f t="shared" si="121"/>
        <v>0.30397591414727615</v>
      </c>
      <c r="M57" s="134">
        <f t="shared" si="47"/>
        <v>1.6434915489043144E-2</v>
      </c>
      <c r="N57" s="125">
        <f t="shared" si="117"/>
        <v>20</v>
      </c>
      <c r="O57" s="124">
        <f t="shared" si="117"/>
        <v>21</v>
      </c>
      <c r="P57" s="130">
        <f t="shared" si="48"/>
        <v>3.0201273556387069</v>
      </c>
      <c r="Q57" s="131">
        <f t="shared" si="49"/>
        <v>1.4829837133566006E-2</v>
      </c>
      <c r="R57" s="132">
        <f t="shared" si="50"/>
        <v>20.493901531919196</v>
      </c>
      <c r="S57" s="132">
        <f t="shared" si="122"/>
        <v>20.496155206937743</v>
      </c>
      <c r="T57" s="133">
        <f t="shared" si="123"/>
        <v>0.30397135608439629</v>
      </c>
      <c r="U57" s="134">
        <f t="shared" si="51"/>
        <v>1.4830652530456298E-2</v>
      </c>
      <c r="V57" s="155">
        <f t="shared" si="124"/>
        <v>33.200000000000003</v>
      </c>
      <c r="W57" s="140">
        <f t="shared" si="52"/>
        <v>34.812046266525151</v>
      </c>
      <c r="X57" s="130">
        <f t="shared" si="125"/>
        <v>3.5262566799441935</v>
      </c>
      <c r="Y57" s="131">
        <f t="shared" si="126"/>
        <v>1.4411431016261522E-2</v>
      </c>
      <c r="Z57" s="130">
        <f t="shared" si="127"/>
        <v>33.996469464469918</v>
      </c>
      <c r="AA57" s="128">
        <f t="shared" si="128"/>
        <v>34</v>
      </c>
      <c r="AB57" s="133">
        <f t="shared" si="129"/>
        <v>0.49001409700939824</v>
      </c>
      <c r="AC57" s="134">
        <f t="shared" si="130"/>
        <v>1.441217932380583E-2</v>
      </c>
      <c r="AD57" s="125" t="str">
        <f t="shared" si="131"/>
        <v>-</v>
      </c>
      <c r="AE57" s="140" t="str">
        <f t="shared" si="53"/>
        <v>-</v>
      </c>
      <c r="AF57" s="130" t="str">
        <f t="shared" si="132"/>
        <v>-</v>
      </c>
      <c r="AG57" s="131" t="str">
        <f t="shared" si="133"/>
        <v>-</v>
      </c>
      <c r="AH57" s="130" t="str">
        <f t="shared" si="134"/>
        <v>-</v>
      </c>
      <c r="AI57" s="128" t="str">
        <f t="shared" si="135"/>
        <v>-</v>
      </c>
      <c r="AJ57" s="133" t="str">
        <f t="shared" si="136"/>
        <v>-</v>
      </c>
      <c r="AK57" s="134" t="str">
        <f t="shared" si="137"/>
        <v>-</v>
      </c>
      <c r="AL57" s="125" t="str">
        <f t="shared" si="138"/>
        <v>-</v>
      </c>
      <c r="AM57" s="140" t="str">
        <f t="shared" si="54"/>
        <v>-</v>
      </c>
      <c r="AN57" s="130" t="str">
        <f t="shared" si="139"/>
        <v>-</v>
      </c>
      <c r="AO57" s="131" t="str">
        <f t="shared" si="140"/>
        <v>-</v>
      </c>
      <c r="AP57" s="130" t="str">
        <f t="shared" si="141"/>
        <v>-</v>
      </c>
      <c r="AQ57" s="128" t="str">
        <f t="shared" si="142"/>
        <v>-</v>
      </c>
      <c r="AR57" s="133" t="str">
        <f t="shared" si="143"/>
        <v>-</v>
      </c>
      <c r="AS57" s="134" t="str">
        <f t="shared" si="144"/>
        <v>-</v>
      </c>
      <c r="AT57" s="125" t="str">
        <f t="shared" si="145"/>
        <v>-</v>
      </c>
      <c r="AU57" s="140" t="str">
        <f t="shared" si="55"/>
        <v>-</v>
      </c>
      <c r="AV57" s="130" t="str">
        <f t="shared" si="146"/>
        <v>-</v>
      </c>
      <c r="AW57" s="131" t="str">
        <f t="shared" si="147"/>
        <v>-</v>
      </c>
      <c r="AX57" s="130" t="str">
        <f t="shared" si="148"/>
        <v>-</v>
      </c>
      <c r="AY57" s="128" t="str">
        <f t="shared" si="149"/>
        <v>-</v>
      </c>
      <c r="AZ57" s="133" t="str">
        <f t="shared" si="150"/>
        <v>-</v>
      </c>
      <c r="BA57" s="134" t="str">
        <f t="shared" si="151"/>
        <v>-</v>
      </c>
      <c r="BB57" s="125" t="str">
        <f t="shared" si="35"/>
        <v>-</v>
      </c>
      <c r="BC57" s="140" t="str">
        <f t="shared" si="56"/>
        <v>-</v>
      </c>
      <c r="BD57" s="130" t="str">
        <f t="shared" si="36"/>
        <v>-</v>
      </c>
      <c r="BE57" s="131" t="str">
        <f t="shared" si="37"/>
        <v>-</v>
      </c>
      <c r="BF57" s="130" t="str">
        <f t="shared" si="38"/>
        <v>-</v>
      </c>
      <c r="BG57" s="143" t="str">
        <f t="shared" si="57"/>
        <v>-</v>
      </c>
      <c r="BH57" s="133" t="str">
        <f t="shared" si="39"/>
        <v>-</v>
      </c>
      <c r="BI57" s="134" t="str">
        <f t="shared" si="40"/>
        <v>-</v>
      </c>
      <c r="BJ57" s="125">
        <f t="shared" si="118"/>
        <v>103</v>
      </c>
      <c r="BK57" s="124">
        <f t="shared" si="118"/>
        <v>103</v>
      </c>
      <c r="BL57" s="130">
        <f t="shared" si="58"/>
        <v>4.6347289882296359</v>
      </c>
      <c r="BM57" s="131">
        <f t="shared" si="59"/>
        <v>0</v>
      </c>
      <c r="BN57" s="130">
        <f t="shared" si="42"/>
        <v>103.00000000000001</v>
      </c>
      <c r="BO57" s="133">
        <f t="shared" si="43"/>
        <v>103.00000000000001</v>
      </c>
      <c r="BP57" s="133">
        <f t="shared" si="44"/>
        <v>0</v>
      </c>
      <c r="BQ57" s="134">
        <f t="shared" si="60"/>
        <v>0</v>
      </c>
    </row>
    <row r="58" spans="1:69" x14ac:dyDescent="0.25">
      <c r="A58" t="s">
        <v>155</v>
      </c>
      <c r="B58" t="s">
        <v>377</v>
      </c>
      <c r="E58" s="152" t="str">
        <f>VLOOKUP(A58,Kleurtabel!$A$2:$F$822,6,FALSE)</f>
        <v>#80FFCC00</v>
      </c>
      <c r="F58" s="125">
        <f t="shared" ref="F58:G83" si="152">VLOOKUP($A58,TABEL,F$10,FALSE)</f>
        <v>17</v>
      </c>
      <c r="G58" s="124">
        <f t="shared" si="152"/>
        <v>18</v>
      </c>
      <c r="H58" s="130">
        <f t="shared" si="45"/>
        <v>2.8617925509761903</v>
      </c>
      <c r="I58" s="131">
        <f t="shared" si="46"/>
        <v>1.7373378066853601E-2</v>
      </c>
      <c r="J58" s="130">
        <f t="shared" si="1"/>
        <v>17.4928556845359</v>
      </c>
      <c r="K58" s="133">
        <f t="shared" si="120"/>
        <v>17.495495855377509</v>
      </c>
      <c r="L58" s="133">
        <f t="shared" si="121"/>
        <v>0.30397880147861883</v>
      </c>
      <c r="M58" s="134">
        <f t="shared" si="47"/>
        <v>1.7374689119496221E-2</v>
      </c>
      <c r="N58" s="125">
        <f t="shared" ref="N58:O83" si="153">VLOOKUP($A58,TABEL,N$10,FALSE)</f>
        <v>19</v>
      </c>
      <c r="O58" s="124">
        <f t="shared" si="153"/>
        <v>20</v>
      </c>
      <c r="P58" s="130">
        <f t="shared" si="48"/>
        <v>2.9700856263602153</v>
      </c>
      <c r="Q58" s="131">
        <f t="shared" si="49"/>
        <v>1.5590666987097445E-2</v>
      </c>
      <c r="R58" s="132">
        <f t="shared" si="50"/>
        <v>19.493588689617919</v>
      </c>
      <c r="S58" s="132">
        <f t="shared" si="122"/>
        <v>19.495957976141646</v>
      </c>
      <c r="T58" s="133">
        <f t="shared" si="123"/>
        <v>0.30397345983682589</v>
      </c>
      <c r="U58" s="134">
        <f t="shared" si="51"/>
        <v>1.5591614436634309E-2</v>
      </c>
      <c r="V58" s="155">
        <f t="shared" si="124"/>
        <v>33.200000000000003</v>
      </c>
      <c r="W58" s="140">
        <f t="shared" si="52"/>
        <v>34.812046266525151</v>
      </c>
      <c r="X58" s="130">
        <f t="shared" si="125"/>
        <v>3.5262566799441935</v>
      </c>
      <c r="Y58" s="131">
        <f t="shared" si="126"/>
        <v>1.4411431016261522E-2</v>
      </c>
      <c r="Z58" s="130">
        <f t="shared" si="127"/>
        <v>33.996469464469918</v>
      </c>
      <c r="AA58" s="128">
        <f t="shared" si="128"/>
        <v>34</v>
      </c>
      <c r="AB58" s="133">
        <f t="shared" si="129"/>
        <v>0.49001409700939824</v>
      </c>
      <c r="AC58" s="134">
        <f t="shared" si="130"/>
        <v>1.441217932380583E-2</v>
      </c>
      <c r="AD58" s="125" t="str">
        <f t="shared" si="131"/>
        <v>-</v>
      </c>
      <c r="AE58" s="140" t="str">
        <f t="shared" si="53"/>
        <v>-</v>
      </c>
      <c r="AF58" s="130" t="str">
        <f t="shared" si="132"/>
        <v>-</v>
      </c>
      <c r="AG58" s="131" t="str">
        <f t="shared" si="133"/>
        <v>-</v>
      </c>
      <c r="AH58" s="130" t="str">
        <f t="shared" si="134"/>
        <v>-</v>
      </c>
      <c r="AI58" s="128" t="str">
        <f t="shared" si="135"/>
        <v>-</v>
      </c>
      <c r="AJ58" s="133" t="str">
        <f t="shared" si="136"/>
        <v>-</v>
      </c>
      <c r="AK58" s="134" t="str">
        <f t="shared" si="137"/>
        <v>-</v>
      </c>
      <c r="AL58" s="125" t="str">
        <f t="shared" si="138"/>
        <v>-</v>
      </c>
      <c r="AM58" s="140" t="str">
        <f t="shared" si="54"/>
        <v>-</v>
      </c>
      <c r="AN58" s="130" t="str">
        <f t="shared" si="139"/>
        <v>-</v>
      </c>
      <c r="AO58" s="131" t="str">
        <f t="shared" si="140"/>
        <v>-</v>
      </c>
      <c r="AP58" s="130" t="str">
        <f t="shared" si="141"/>
        <v>-</v>
      </c>
      <c r="AQ58" s="128" t="str">
        <f t="shared" si="142"/>
        <v>-</v>
      </c>
      <c r="AR58" s="133" t="str">
        <f t="shared" si="143"/>
        <v>-</v>
      </c>
      <c r="AS58" s="134" t="str">
        <f t="shared" si="144"/>
        <v>-</v>
      </c>
      <c r="AT58" s="125" t="str">
        <f t="shared" si="145"/>
        <v>-</v>
      </c>
      <c r="AU58" s="140" t="str">
        <f t="shared" si="55"/>
        <v>-</v>
      </c>
      <c r="AV58" s="130" t="str">
        <f t="shared" si="146"/>
        <v>-</v>
      </c>
      <c r="AW58" s="131" t="str">
        <f t="shared" si="147"/>
        <v>-</v>
      </c>
      <c r="AX58" s="130" t="str">
        <f t="shared" si="148"/>
        <v>-</v>
      </c>
      <c r="AY58" s="128" t="str">
        <f t="shared" si="149"/>
        <v>-</v>
      </c>
      <c r="AZ58" s="133" t="str">
        <f t="shared" si="150"/>
        <v>-</v>
      </c>
      <c r="BA58" s="134" t="str">
        <f t="shared" si="151"/>
        <v>-</v>
      </c>
      <c r="BB58" s="125" t="str">
        <f t="shared" si="35"/>
        <v>-</v>
      </c>
      <c r="BC58" s="140" t="str">
        <f t="shared" si="56"/>
        <v>-</v>
      </c>
      <c r="BD58" s="130" t="str">
        <f t="shared" si="36"/>
        <v>-</v>
      </c>
      <c r="BE58" s="131" t="str">
        <f t="shared" si="37"/>
        <v>-</v>
      </c>
      <c r="BF58" s="130" t="str">
        <f t="shared" si="38"/>
        <v>-</v>
      </c>
      <c r="BG58" s="143" t="str">
        <f t="shared" si="57"/>
        <v>-</v>
      </c>
      <c r="BH58" s="133" t="str">
        <f t="shared" si="39"/>
        <v>-</v>
      </c>
      <c r="BI58" s="134" t="str">
        <f t="shared" si="40"/>
        <v>-</v>
      </c>
      <c r="BJ58" s="125">
        <f t="shared" ref="BJ58:BK83" si="154">VLOOKUP($A58,TABEL,BJ$10,FALSE)</f>
        <v>103</v>
      </c>
      <c r="BK58" s="124">
        <f t="shared" si="154"/>
        <v>103</v>
      </c>
      <c r="BL58" s="130">
        <f t="shared" si="58"/>
        <v>4.6347289882296359</v>
      </c>
      <c r="BM58" s="131">
        <f t="shared" si="59"/>
        <v>0</v>
      </c>
      <c r="BN58" s="130">
        <f t="shared" si="42"/>
        <v>103.00000000000001</v>
      </c>
      <c r="BO58" s="133">
        <f t="shared" si="43"/>
        <v>103.00000000000001</v>
      </c>
      <c r="BP58" s="133">
        <f t="shared" si="44"/>
        <v>0</v>
      </c>
      <c r="BQ58" s="134">
        <f t="shared" si="60"/>
        <v>0</v>
      </c>
    </row>
    <row r="59" spans="1:69" x14ac:dyDescent="0.25">
      <c r="A59" t="s">
        <v>156</v>
      </c>
      <c r="B59" t="s">
        <v>377</v>
      </c>
      <c r="E59" s="152" t="str">
        <f>VLOOKUP(A59,Kleurtabel!$A$2:$F$822,6,FALSE)</f>
        <v>#80FFE36D</v>
      </c>
      <c r="F59" s="125">
        <f t="shared" si="152"/>
        <v>17</v>
      </c>
      <c r="G59" s="124">
        <f t="shared" si="152"/>
        <v>18</v>
      </c>
      <c r="H59" s="130">
        <f t="shared" si="45"/>
        <v>2.8617925509761903</v>
      </c>
      <c r="I59" s="131">
        <f t="shared" si="46"/>
        <v>1.7373378066853601E-2</v>
      </c>
      <c r="J59" s="130">
        <f t="shared" si="1"/>
        <v>17.4928556845359</v>
      </c>
      <c r="K59" s="133">
        <f t="shared" si="120"/>
        <v>17.495495855377509</v>
      </c>
      <c r="L59" s="133">
        <f t="shared" si="121"/>
        <v>0.30397880147861883</v>
      </c>
      <c r="M59" s="134">
        <f t="shared" si="47"/>
        <v>1.7374689119496221E-2</v>
      </c>
      <c r="N59" s="125">
        <f t="shared" si="153"/>
        <v>19</v>
      </c>
      <c r="O59" s="124">
        <f t="shared" si="153"/>
        <v>20</v>
      </c>
      <c r="P59" s="130">
        <f t="shared" si="48"/>
        <v>2.9700856263602153</v>
      </c>
      <c r="Q59" s="131">
        <f t="shared" si="49"/>
        <v>1.5590666987097445E-2</v>
      </c>
      <c r="R59" s="132">
        <f t="shared" si="50"/>
        <v>19.493588689617919</v>
      </c>
      <c r="S59" s="132">
        <f t="shared" si="122"/>
        <v>19.495957976141646</v>
      </c>
      <c r="T59" s="133">
        <f t="shared" si="123"/>
        <v>0.30397345983682589</v>
      </c>
      <c r="U59" s="134">
        <f t="shared" si="51"/>
        <v>1.5591614436634309E-2</v>
      </c>
      <c r="V59" s="155">
        <f t="shared" si="124"/>
        <v>33.200000000000003</v>
      </c>
      <c r="W59" s="140">
        <f t="shared" si="52"/>
        <v>34.812046266525151</v>
      </c>
      <c r="X59" s="130">
        <f t="shared" si="125"/>
        <v>3.5262566799441935</v>
      </c>
      <c r="Y59" s="131">
        <f t="shared" si="126"/>
        <v>1.4411431016261522E-2</v>
      </c>
      <c r="Z59" s="130">
        <f t="shared" si="127"/>
        <v>33.996469464469918</v>
      </c>
      <c r="AA59" s="128">
        <f t="shared" si="128"/>
        <v>34</v>
      </c>
      <c r="AB59" s="133">
        <f t="shared" si="129"/>
        <v>0.49001409700939824</v>
      </c>
      <c r="AC59" s="134">
        <f t="shared" si="130"/>
        <v>1.441217932380583E-2</v>
      </c>
      <c r="AD59" s="125" t="str">
        <f t="shared" si="131"/>
        <v>-</v>
      </c>
      <c r="AE59" s="140" t="str">
        <f t="shared" si="53"/>
        <v>-</v>
      </c>
      <c r="AF59" s="130" t="str">
        <f t="shared" si="132"/>
        <v>-</v>
      </c>
      <c r="AG59" s="131" t="str">
        <f t="shared" si="133"/>
        <v>-</v>
      </c>
      <c r="AH59" s="130" t="str">
        <f t="shared" si="134"/>
        <v>-</v>
      </c>
      <c r="AI59" s="128" t="str">
        <f t="shared" si="135"/>
        <v>-</v>
      </c>
      <c r="AJ59" s="133" t="str">
        <f t="shared" si="136"/>
        <v>-</v>
      </c>
      <c r="AK59" s="134" t="str">
        <f t="shared" si="137"/>
        <v>-</v>
      </c>
      <c r="AL59" s="125" t="str">
        <f t="shared" si="138"/>
        <v>-</v>
      </c>
      <c r="AM59" s="140" t="str">
        <f t="shared" si="54"/>
        <v>-</v>
      </c>
      <c r="AN59" s="130" t="str">
        <f t="shared" si="139"/>
        <v>-</v>
      </c>
      <c r="AO59" s="131" t="str">
        <f t="shared" si="140"/>
        <v>-</v>
      </c>
      <c r="AP59" s="130" t="str">
        <f t="shared" si="141"/>
        <v>-</v>
      </c>
      <c r="AQ59" s="128" t="str">
        <f t="shared" si="142"/>
        <v>-</v>
      </c>
      <c r="AR59" s="133" t="str">
        <f t="shared" si="143"/>
        <v>-</v>
      </c>
      <c r="AS59" s="134" t="str">
        <f t="shared" si="144"/>
        <v>-</v>
      </c>
      <c r="AT59" s="125" t="str">
        <f t="shared" si="145"/>
        <v>-</v>
      </c>
      <c r="AU59" s="140" t="str">
        <f t="shared" si="55"/>
        <v>-</v>
      </c>
      <c r="AV59" s="130" t="str">
        <f t="shared" si="146"/>
        <v>-</v>
      </c>
      <c r="AW59" s="131" t="str">
        <f t="shared" si="147"/>
        <v>-</v>
      </c>
      <c r="AX59" s="130" t="str">
        <f t="shared" si="148"/>
        <v>-</v>
      </c>
      <c r="AY59" s="128" t="str">
        <f t="shared" si="149"/>
        <v>-</v>
      </c>
      <c r="AZ59" s="133" t="str">
        <f t="shared" si="150"/>
        <v>-</v>
      </c>
      <c r="BA59" s="134" t="str">
        <f t="shared" si="151"/>
        <v>-</v>
      </c>
      <c r="BB59" s="125" t="str">
        <f t="shared" si="35"/>
        <v>-</v>
      </c>
      <c r="BC59" s="140" t="str">
        <f t="shared" si="56"/>
        <v>-</v>
      </c>
      <c r="BD59" s="130" t="str">
        <f t="shared" si="36"/>
        <v>-</v>
      </c>
      <c r="BE59" s="131" t="str">
        <f t="shared" si="37"/>
        <v>-</v>
      </c>
      <c r="BF59" s="130" t="str">
        <f t="shared" si="38"/>
        <v>-</v>
      </c>
      <c r="BG59" s="143" t="str">
        <f t="shared" si="57"/>
        <v>-</v>
      </c>
      <c r="BH59" s="133" t="str">
        <f t="shared" si="39"/>
        <v>-</v>
      </c>
      <c r="BI59" s="134" t="str">
        <f t="shared" si="40"/>
        <v>-</v>
      </c>
      <c r="BJ59" s="125">
        <f t="shared" si="154"/>
        <v>103</v>
      </c>
      <c r="BK59" s="124">
        <f t="shared" si="154"/>
        <v>103</v>
      </c>
      <c r="BL59" s="130">
        <f t="shared" si="58"/>
        <v>4.6347289882296359</v>
      </c>
      <c r="BM59" s="131">
        <f t="shared" si="59"/>
        <v>0</v>
      </c>
      <c r="BN59" s="130">
        <f t="shared" si="42"/>
        <v>103.00000000000001</v>
      </c>
      <c r="BO59" s="133">
        <f t="shared" si="43"/>
        <v>103.00000000000001</v>
      </c>
      <c r="BP59" s="133">
        <f t="shared" si="44"/>
        <v>0</v>
      </c>
      <c r="BQ59" s="134">
        <f t="shared" si="60"/>
        <v>0</v>
      </c>
    </row>
    <row r="60" spans="1:69" x14ac:dyDescent="0.25">
      <c r="A60" t="s">
        <v>394</v>
      </c>
      <c r="B60" t="s">
        <v>376</v>
      </c>
      <c r="E60" s="152" t="e">
        <f>VLOOKUP(A60,Kleurtabel!$A$2:$F$822,6,FALSE)</f>
        <v>#N/A</v>
      </c>
      <c r="F60" s="125">
        <f>F61</f>
        <v>17</v>
      </c>
      <c r="G60" s="125">
        <f t="shared" ref="G60:BQ60" si="155">G61</f>
        <v>19</v>
      </c>
      <c r="H60" s="125">
        <f t="shared" si="155"/>
        <v>2.8888261616113282</v>
      </c>
      <c r="I60" s="125">
        <f t="shared" si="155"/>
        <v>3.3807183924080275E-2</v>
      </c>
      <c r="J60" s="125">
        <f t="shared" si="155"/>
        <v>17.972200755611428</v>
      </c>
      <c r="K60" s="125">
        <f t="shared" si="155"/>
        <v>17.982474135688012</v>
      </c>
      <c r="L60" s="125">
        <f t="shared" si="155"/>
        <v>0.60811055853240203</v>
      </c>
      <c r="M60" s="125">
        <f t="shared" si="155"/>
        <v>3.3816845999269145E-2</v>
      </c>
      <c r="N60" s="125">
        <f t="shared" si="155"/>
        <v>17</v>
      </c>
      <c r="O60" s="125">
        <f t="shared" si="155"/>
        <v>19</v>
      </c>
      <c r="P60" s="125">
        <f t="shared" si="155"/>
        <v>2.8888261616113282</v>
      </c>
      <c r="Q60" s="125">
        <f t="shared" si="155"/>
        <v>3.3807183924080275E-2</v>
      </c>
      <c r="R60" s="125">
        <f t="shared" si="155"/>
        <v>17.972200755611428</v>
      </c>
      <c r="S60" s="125">
        <f t="shared" si="155"/>
        <v>17.982474135688012</v>
      </c>
      <c r="T60" s="125">
        <f t="shared" si="155"/>
        <v>0.60811055853240203</v>
      </c>
      <c r="U60" s="125">
        <f t="shared" si="155"/>
        <v>3.3816845999269145E-2</v>
      </c>
      <c r="V60" s="125">
        <f t="shared" si="155"/>
        <v>30.95</v>
      </c>
      <c r="W60" s="125">
        <f t="shared" si="155"/>
        <v>33.072180669348825</v>
      </c>
      <c r="X60" s="125">
        <f t="shared" si="155"/>
        <v>3.4655327324823864</v>
      </c>
      <c r="Y60" s="125">
        <f t="shared" si="155"/>
        <v>2.015789261506451E-2</v>
      </c>
      <c r="Z60" s="125">
        <f t="shared" si="155"/>
        <v>31.993499210251233</v>
      </c>
      <c r="AA60" s="125">
        <f t="shared" si="155"/>
        <v>32</v>
      </c>
      <c r="AB60" s="125">
        <f t="shared" si="155"/>
        <v>0.64511809699671463</v>
      </c>
      <c r="AC60" s="125">
        <f t="shared" si="155"/>
        <v>2.0159940531147332E-2</v>
      </c>
      <c r="AD60" s="125">
        <f t="shared" si="155"/>
        <v>0.28100000000000003</v>
      </c>
      <c r="AE60" s="125">
        <f t="shared" si="155"/>
        <v>0.29917961173681679</v>
      </c>
      <c r="AF60" s="125">
        <f t="shared" si="155"/>
        <v>-1.2380558937214354</v>
      </c>
      <c r="AG60" s="125">
        <f t="shared" si="155"/>
        <v>1.9054538557419898E-2</v>
      </c>
      <c r="AH60" s="125">
        <f t="shared" si="155"/>
        <v>0.28994735883957545</v>
      </c>
      <c r="AI60" s="125">
        <f t="shared" si="155"/>
        <v>0.28999999999999998</v>
      </c>
      <c r="AJ60" s="125">
        <f t="shared" si="155"/>
        <v>5.52631779162778E-3</v>
      </c>
      <c r="AK60" s="125">
        <f t="shared" si="155"/>
        <v>1.9056268246992348E-2</v>
      </c>
      <c r="AL60" s="125">
        <f t="shared" si="155"/>
        <v>0.89200000000000002</v>
      </c>
      <c r="AM60" s="125">
        <f t="shared" si="155"/>
        <v>0.90804508506493276</v>
      </c>
      <c r="AN60" s="125">
        <f t="shared" si="155"/>
        <v>-0.10537519743021823</v>
      </c>
      <c r="AO60" s="125">
        <f t="shared" si="155"/>
        <v>5.4188139646866862E-3</v>
      </c>
      <c r="AP60" s="125">
        <f t="shared" si="155"/>
        <v>0.89998678650184627</v>
      </c>
      <c r="AQ60" s="125">
        <f t="shared" si="155"/>
        <v>0.9</v>
      </c>
      <c r="AR60" s="125">
        <f t="shared" si="155"/>
        <v>4.8769683694481559E-3</v>
      </c>
      <c r="AS60" s="125">
        <f t="shared" si="155"/>
        <v>5.4188537438312843E-3</v>
      </c>
      <c r="AT60" s="125">
        <f t="shared" si="155"/>
        <v>11.57</v>
      </c>
      <c r="AU60" s="125">
        <f t="shared" si="155"/>
        <v>36.715039080961702</v>
      </c>
      <c r="AV60" s="125">
        <f t="shared" si="155"/>
        <v>3.0258009982749376</v>
      </c>
      <c r="AW60" s="125">
        <f t="shared" si="155"/>
        <v>0.35099419882635408</v>
      </c>
      <c r="AX60" s="125">
        <f t="shared" si="155"/>
        <v>20.610507081746601</v>
      </c>
      <c r="AY60" s="125">
        <f t="shared" si="155"/>
        <v>21.92</v>
      </c>
      <c r="AZ60" s="125">
        <f t="shared" si="155"/>
        <v>7.9369515704755926</v>
      </c>
      <c r="BA60" s="125">
        <f t="shared" si="155"/>
        <v>0.36208720668228067</v>
      </c>
      <c r="BB60" s="125">
        <f t="shared" si="155"/>
        <v>6</v>
      </c>
      <c r="BC60" s="125">
        <f t="shared" si="155"/>
        <v>6</v>
      </c>
      <c r="BD60" s="125">
        <f t="shared" si="155"/>
        <v>1.791759469228055</v>
      </c>
      <c r="BE60" s="125">
        <f t="shared" si="155"/>
        <v>0</v>
      </c>
      <c r="BF60" s="125">
        <f t="shared" si="155"/>
        <v>6</v>
      </c>
      <c r="BG60" s="125">
        <f t="shared" si="155"/>
        <v>6</v>
      </c>
      <c r="BH60" s="125">
        <f t="shared" si="155"/>
        <v>0</v>
      </c>
      <c r="BI60" s="125">
        <f t="shared" si="155"/>
        <v>0</v>
      </c>
      <c r="BJ60" s="125">
        <f t="shared" si="155"/>
        <v>103</v>
      </c>
      <c r="BK60" s="125">
        <f t="shared" si="155"/>
        <v>103</v>
      </c>
      <c r="BL60" s="125">
        <f t="shared" si="155"/>
        <v>4.6347289882296359</v>
      </c>
      <c r="BM60" s="125">
        <f t="shared" si="155"/>
        <v>0</v>
      </c>
      <c r="BN60" s="125">
        <f t="shared" si="155"/>
        <v>103.00000000000001</v>
      </c>
      <c r="BO60" s="125">
        <f t="shared" si="155"/>
        <v>103.00000000000001</v>
      </c>
      <c r="BP60" s="125">
        <f t="shared" si="155"/>
        <v>0</v>
      </c>
      <c r="BQ60" s="125">
        <f t="shared" si="155"/>
        <v>0</v>
      </c>
    </row>
    <row r="61" spans="1:69" x14ac:dyDescent="0.25">
      <c r="A61" t="s">
        <v>157</v>
      </c>
      <c r="B61" t="s">
        <v>376</v>
      </c>
      <c r="E61" s="152" t="str">
        <f>VLOOKUP(A61,Kleurtabel!$A$2:$F$822,6,FALSE)</f>
        <v>#80808000</v>
      </c>
      <c r="F61" s="125">
        <f t="shared" si="152"/>
        <v>17</v>
      </c>
      <c r="G61" s="124">
        <f t="shared" si="152"/>
        <v>19</v>
      </c>
      <c r="H61" s="130">
        <f t="shared" si="45"/>
        <v>2.8888261616113282</v>
      </c>
      <c r="I61" s="131">
        <f t="shared" si="46"/>
        <v>3.3807183924080275E-2</v>
      </c>
      <c r="J61" s="130">
        <f t="shared" si="1"/>
        <v>17.972200755611428</v>
      </c>
      <c r="K61" s="133">
        <f t="shared" si="120"/>
        <v>17.982474135688012</v>
      </c>
      <c r="L61" s="133">
        <f t="shared" si="121"/>
        <v>0.60811055853240203</v>
      </c>
      <c r="M61" s="134">
        <f t="shared" si="47"/>
        <v>3.3816845999269145E-2</v>
      </c>
      <c r="N61" s="125">
        <f t="shared" si="153"/>
        <v>17</v>
      </c>
      <c r="O61" s="124">
        <f t="shared" si="153"/>
        <v>19</v>
      </c>
      <c r="P61" s="130">
        <f t="shared" si="48"/>
        <v>2.8888261616113282</v>
      </c>
      <c r="Q61" s="131">
        <f t="shared" si="49"/>
        <v>3.3807183924080275E-2</v>
      </c>
      <c r="R61" s="132">
        <f t="shared" si="50"/>
        <v>17.972200755611428</v>
      </c>
      <c r="S61" s="132">
        <f t="shared" si="122"/>
        <v>17.982474135688012</v>
      </c>
      <c r="T61" s="133">
        <f t="shared" si="123"/>
        <v>0.60811055853240203</v>
      </c>
      <c r="U61" s="134">
        <f t="shared" si="51"/>
        <v>3.3816845999269145E-2</v>
      </c>
      <c r="V61" s="155">
        <f t="shared" si="124"/>
        <v>30.95</v>
      </c>
      <c r="W61" s="140">
        <f t="shared" si="52"/>
        <v>33.072180669348825</v>
      </c>
      <c r="X61" s="130">
        <f t="shared" si="125"/>
        <v>3.4655327324823864</v>
      </c>
      <c r="Y61" s="131">
        <f t="shared" si="126"/>
        <v>2.015789261506451E-2</v>
      </c>
      <c r="Z61" s="130">
        <f t="shared" si="127"/>
        <v>31.993499210251233</v>
      </c>
      <c r="AA61" s="128">
        <f t="shared" si="128"/>
        <v>32</v>
      </c>
      <c r="AB61" s="133">
        <f t="shared" si="129"/>
        <v>0.64511809699671463</v>
      </c>
      <c r="AC61" s="134">
        <f t="shared" si="130"/>
        <v>2.0159940531147332E-2</v>
      </c>
      <c r="AD61" s="125">
        <f t="shared" si="131"/>
        <v>0.28100000000000003</v>
      </c>
      <c r="AE61" s="140">
        <f t="shared" si="53"/>
        <v>0.29917961173681679</v>
      </c>
      <c r="AF61" s="130">
        <f t="shared" si="132"/>
        <v>-1.2380558937214354</v>
      </c>
      <c r="AG61" s="131">
        <f t="shared" si="133"/>
        <v>1.9054538557419898E-2</v>
      </c>
      <c r="AH61" s="130">
        <f t="shared" si="134"/>
        <v>0.28994735883957545</v>
      </c>
      <c r="AI61" s="128">
        <f t="shared" si="135"/>
        <v>0.28999999999999998</v>
      </c>
      <c r="AJ61" s="133">
        <f t="shared" si="136"/>
        <v>5.52631779162778E-3</v>
      </c>
      <c r="AK61" s="134">
        <f t="shared" si="137"/>
        <v>1.9056268246992348E-2</v>
      </c>
      <c r="AL61" s="125">
        <f t="shared" si="138"/>
        <v>0.89200000000000002</v>
      </c>
      <c r="AM61" s="140">
        <f t="shared" si="54"/>
        <v>0.90804508506493276</v>
      </c>
      <c r="AN61" s="130">
        <f t="shared" si="139"/>
        <v>-0.10537519743021823</v>
      </c>
      <c r="AO61" s="131">
        <f t="shared" si="140"/>
        <v>5.4188139646866862E-3</v>
      </c>
      <c r="AP61" s="130">
        <f t="shared" si="141"/>
        <v>0.89998678650184627</v>
      </c>
      <c r="AQ61" s="128">
        <f t="shared" si="142"/>
        <v>0.9</v>
      </c>
      <c r="AR61" s="133">
        <f t="shared" si="143"/>
        <v>4.8769683694481559E-3</v>
      </c>
      <c r="AS61" s="134">
        <f t="shared" si="144"/>
        <v>5.4188537438312843E-3</v>
      </c>
      <c r="AT61" s="125">
        <f t="shared" si="145"/>
        <v>11.57</v>
      </c>
      <c r="AU61" s="140">
        <f t="shared" si="55"/>
        <v>36.715039080961702</v>
      </c>
      <c r="AV61" s="130">
        <f t="shared" si="146"/>
        <v>3.0258009982749376</v>
      </c>
      <c r="AW61" s="131">
        <f t="shared" si="147"/>
        <v>0.35099419882635408</v>
      </c>
      <c r="AX61" s="130">
        <f t="shared" si="148"/>
        <v>20.610507081746601</v>
      </c>
      <c r="AY61" s="128">
        <f t="shared" si="149"/>
        <v>21.92</v>
      </c>
      <c r="AZ61" s="133">
        <f t="shared" si="150"/>
        <v>7.9369515704755926</v>
      </c>
      <c r="BA61" s="134">
        <f t="shared" si="151"/>
        <v>0.36208720668228067</v>
      </c>
      <c r="BB61" s="125">
        <f t="shared" si="35"/>
        <v>6</v>
      </c>
      <c r="BC61" s="140">
        <f t="shared" si="56"/>
        <v>6</v>
      </c>
      <c r="BD61" s="130">
        <f t="shared" si="36"/>
        <v>1.791759469228055</v>
      </c>
      <c r="BE61" s="131">
        <f t="shared" si="37"/>
        <v>0</v>
      </c>
      <c r="BF61" s="130">
        <f t="shared" si="38"/>
        <v>6</v>
      </c>
      <c r="BG61" s="143">
        <f t="shared" si="57"/>
        <v>6</v>
      </c>
      <c r="BH61" s="133">
        <f t="shared" si="39"/>
        <v>0</v>
      </c>
      <c r="BI61" s="134">
        <f t="shared" si="40"/>
        <v>0</v>
      </c>
      <c r="BJ61" s="125">
        <f t="shared" si="154"/>
        <v>103</v>
      </c>
      <c r="BK61" s="124">
        <f t="shared" si="154"/>
        <v>103</v>
      </c>
      <c r="BL61" s="130">
        <f t="shared" si="58"/>
        <v>4.6347289882296359</v>
      </c>
      <c r="BM61" s="131">
        <f t="shared" si="59"/>
        <v>0</v>
      </c>
      <c r="BN61" s="130">
        <f t="shared" si="42"/>
        <v>103.00000000000001</v>
      </c>
      <c r="BO61" s="133">
        <f t="shared" si="43"/>
        <v>103.00000000000001</v>
      </c>
      <c r="BP61" s="133">
        <f t="shared" si="44"/>
        <v>0</v>
      </c>
      <c r="BQ61" s="134">
        <f t="shared" si="60"/>
        <v>0</v>
      </c>
    </row>
    <row r="62" spans="1:69" x14ac:dyDescent="0.25">
      <c r="A62" t="s">
        <v>163</v>
      </c>
      <c r="B62" t="s">
        <v>377</v>
      </c>
      <c r="E62" s="152" t="str">
        <f>VLOOKUP(A62,Kleurtabel!$A$2:$F$822,6,FALSE)</f>
        <v>#80E7E200</v>
      </c>
      <c r="F62" s="125">
        <f t="shared" si="152"/>
        <v>18</v>
      </c>
      <c r="G62" s="124">
        <f t="shared" si="152"/>
        <v>19</v>
      </c>
      <c r="H62" s="130">
        <f t="shared" ref="H62" si="156">(LN(G62)+LN(F62))/2</f>
        <v>2.9174053685313024</v>
      </c>
      <c r="I62" s="131">
        <f t="shared" ref="I62" si="157">(LN(G62)-LN(F62))/(2*1.645)</f>
        <v>1.6433805857226671E-2</v>
      </c>
      <c r="J62" s="130">
        <f t="shared" ref="J62" si="158">IF(F62="-","-",EXP(H62))</f>
        <v>18.493242008906925</v>
      </c>
      <c r="K62" s="133">
        <f t="shared" ref="K62" si="159">EXP(H62+I62*I62/2)</f>
        <v>18.495739412224619</v>
      </c>
      <c r="L62" s="133">
        <f t="shared" ref="L62" si="160">SQRT((EXP(I62*I62)-1)*EXP(2*H62+I62*I62))</f>
        <v>0.30397591414727615</v>
      </c>
      <c r="M62" s="134">
        <f t="shared" ref="M62" si="161">L62/K62</f>
        <v>1.6434915489043144E-2</v>
      </c>
      <c r="N62" s="125">
        <f t="shared" si="153"/>
        <v>20</v>
      </c>
      <c r="O62" s="124">
        <f t="shared" si="153"/>
        <v>21</v>
      </c>
      <c r="P62" s="130">
        <f t="shared" ref="P62" si="162">(LN(O62)+LN(N62))/2</f>
        <v>3.0201273556387069</v>
      </c>
      <c r="Q62" s="131">
        <f t="shared" ref="Q62" si="163">(LN(O62)-LN(N62))/(2*1.645)</f>
        <v>1.4829837133566006E-2</v>
      </c>
      <c r="R62" s="132">
        <f t="shared" ref="R62" si="164">EXP(P62)</f>
        <v>20.493901531919196</v>
      </c>
      <c r="S62" s="132">
        <f t="shared" ref="S62" si="165">EXP(P62+Q62*Q62/2)</f>
        <v>20.496155206937743</v>
      </c>
      <c r="T62" s="133">
        <f t="shared" ref="T62" si="166">SQRT((EXP(Q62*Q62)-1)*EXP(2*P62+Q62*Q62))</f>
        <v>0.30397135608439629</v>
      </c>
      <c r="U62" s="134">
        <f t="shared" ref="U62" si="167">T62/S62</f>
        <v>1.4830652530456298E-2</v>
      </c>
      <c r="V62" s="155">
        <f t="shared" ref="V62" si="168">VLOOKUP($A62,TABEL,V$10,FALSE)/2+AA62/2</f>
        <v>30.95</v>
      </c>
      <c r="W62" s="140">
        <f t="shared" ref="W62" si="169">IF(V62="-","-",EXP(X62+1.645*Y62))</f>
        <v>33.072180669348825</v>
      </c>
      <c r="X62" s="130">
        <f t="shared" ref="X62" si="170">IF(V62="-","-",LN(AA62)-Y62*Y62/2)</f>
        <v>3.4655327324823864</v>
      </c>
      <c r="Y62" s="131">
        <f t="shared" ref="Y62" si="171">IF(V62="-","-",(SQRT(1.645^2+2*LN(AA62/V62))-1.645))</f>
        <v>2.015789261506451E-2</v>
      </c>
      <c r="Z62" s="130">
        <f t="shared" ref="Z62" si="172">IF(V62="-","-",EXP(X62))</f>
        <v>31.993499210251233</v>
      </c>
      <c r="AA62" s="128">
        <f t="shared" si="128"/>
        <v>32</v>
      </c>
      <c r="AB62" s="133">
        <f t="shared" ref="AB62" si="173">IF(V62="-","-",SQRT((EXP(Y62*Y62)-1)*EXP(2*X62+Y62*Y62)))</f>
        <v>0.64511809699671463</v>
      </c>
      <c r="AC62" s="134">
        <f t="shared" ref="AC62" si="174">IF(V62="-","-",AB62/AA62)</f>
        <v>2.0159940531147332E-2</v>
      </c>
      <c r="AD62" s="125" t="str">
        <f t="shared" si="131"/>
        <v>-</v>
      </c>
      <c r="AE62" s="140" t="str">
        <f t="shared" ref="AE62" si="175">IF(AD62="-","-",EXP(AF62+1.645*AG62))</f>
        <v>-</v>
      </c>
      <c r="AF62" s="130" t="str">
        <f t="shared" ref="AF62" si="176">IF(AD62="-","-",LN(AI62)-AG62*AG62/2)</f>
        <v>-</v>
      </c>
      <c r="AG62" s="131" t="str">
        <f t="shared" ref="AG62" si="177">IF(AD62="-","-",(SQRT(1.645^2+2*LN(AI62/AD62))-1.645))</f>
        <v>-</v>
      </c>
      <c r="AH62" s="130" t="str">
        <f t="shared" ref="AH62" si="178">IF(AD62="-","-",EXP(AF62))</f>
        <v>-</v>
      </c>
      <c r="AI62" s="128" t="str">
        <f t="shared" si="135"/>
        <v>-</v>
      </c>
      <c r="AJ62" s="133" t="str">
        <f t="shared" ref="AJ62" si="179">IF(AD62="-","-",SQRT((EXP(AG62*AG62)-1)*EXP(2*AF62+AG62*AG62)))</f>
        <v>-</v>
      </c>
      <c r="AK62" s="134" t="str">
        <f t="shared" ref="AK62" si="180">IF(AD62="-","-",AJ62/AI62)</f>
        <v>-</v>
      </c>
      <c r="AL62" s="125" t="str">
        <f t="shared" si="138"/>
        <v>-</v>
      </c>
      <c r="AM62" s="140" t="str">
        <f t="shared" ref="AM62" si="181">IF(AL62="-","-",EXP(AN62+1.645*AO62))</f>
        <v>-</v>
      </c>
      <c r="AN62" s="130" t="str">
        <f t="shared" ref="AN62" si="182">IF(AL62="-","-",LN(AQ62)-AO62*AO62/2)</f>
        <v>-</v>
      </c>
      <c r="AO62" s="131" t="str">
        <f t="shared" ref="AO62" si="183">IF(AL62="-","-",(SQRT(1.645^2+2*LN(AQ62/AL62))-1.645))</f>
        <v>-</v>
      </c>
      <c r="AP62" s="130" t="str">
        <f t="shared" ref="AP62" si="184">IF(AL62="-","-",EXP(AN62))</f>
        <v>-</v>
      </c>
      <c r="AQ62" s="128" t="str">
        <f t="shared" si="142"/>
        <v>-</v>
      </c>
      <c r="AR62" s="133" t="str">
        <f t="shared" ref="AR62" si="185">IF(AL62="-","-",SQRT((EXP(AO62*AO62)-1)*EXP(2*AN62+AO62*AO62)))</f>
        <v>-</v>
      </c>
      <c r="AS62" s="134" t="str">
        <f t="shared" ref="AS62" si="186">IF(AL62="-","-",AR62/AQ62)</f>
        <v>-</v>
      </c>
      <c r="AT62" s="125" t="str">
        <f t="shared" si="145"/>
        <v>-</v>
      </c>
      <c r="AU62" s="140" t="str">
        <f t="shared" ref="AU62" si="187">IF(AT62="-","-",EXP(AV62+1.645*AW62))</f>
        <v>-</v>
      </c>
      <c r="AV62" s="130" t="str">
        <f t="shared" ref="AV62" si="188">IF(AT62="-","-",LN(AY62)-AW62*AW62/2)</f>
        <v>-</v>
      </c>
      <c r="AW62" s="131" t="str">
        <f t="shared" ref="AW62" si="189">IF(AT62="-","-",(SQRT(1.645^2+2*LN(AY62/AT62))-1.645))</f>
        <v>-</v>
      </c>
      <c r="AX62" s="130" t="str">
        <f t="shared" ref="AX62" si="190">IF(AT62="-","-",EXP(AV62))</f>
        <v>-</v>
      </c>
      <c r="AY62" s="128" t="str">
        <f t="shared" si="149"/>
        <v>-</v>
      </c>
      <c r="AZ62" s="133" t="str">
        <f t="shared" ref="AZ62" si="191">IF(AT62="-","-",SQRT((EXP(AW62*AW62)-1)*EXP(2*AV62+AW62*AW62)))</f>
        <v>-</v>
      </c>
      <c r="BA62" s="134" t="str">
        <f t="shared" ref="BA62" si="192">IF(AT62="-","-",AZ62/AY62)</f>
        <v>-</v>
      </c>
      <c r="BB62" s="125" t="str">
        <f t="shared" si="35"/>
        <v>-</v>
      </c>
      <c r="BC62" s="140" t="str">
        <f t="shared" ref="BC62" si="193">IF(BB62="-","-",EXP(BD62+1.645*BE62))</f>
        <v>-</v>
      </c>
      <c r="BD62" s="130" t="str">
        <f t="shared" ref="BD62" si="194">IF(BB62="-","-",LN(BG62)-BE62*BE62/2)</f>
        <v>-</v>
      </c>
      <c r="BE62" s="131" t="str">
        <f t="shared" ref="BE62" si="195">IF(BB62="-","-",(SQRT(1.645^2+2*LN(BG62/BB62))-1.645))</f>
        <v>-</v>
      </c>
      <c r="BF62" s="130" t="str">
        <f t="shared" ref="BF62" si="196">IF(BB62="-","-",EXP(BD62))</f>
        <v>-</v>
      </c>
      <c r="BG62" s="143" t="str">
        <f t="shared" ref="BG62" si="197">BB62</f>
        <v>-</v>
      </c>
      <c r="BH62" s="133" t="str">
        <f t="shared" ref="BH62" si="198">IF(BB62="-","-",SQRT((EXP(BE62*BE62)-1)*EXP(2*BD62+BE62*BE62)))</f>
        <v>-</v>
      </c>
      <c r="BI62" s="134" t="str">
        <f t="shared" ref="BI62" si="199">IF(BB62="-","-",BH62/BG62)</f>
        <v>-</v>
      </c>
      <c r="BJ62" s="125">
        <f t="shared" si="154"/>
        <v>103</v>
      </c>
      <c r="BK62" s="124">
        <f t="shared" si="154"/>
        <v>103</v>
      </c>
      <c r="BL62" s="130">
        <f t="shared" ref="BL62" si="200">(LN(BK62)+LN(BJ62))/2</f>
        <v>4.6347289882296359</v>
      </c>
      <c r="BM62" s="131">
        <f t="shared" ref="BM62" si="201">(LN(BK62)-LN(BJ62))/(2*1.645)</f>
        <v>0</v>
      </c>
      <c r="BN62" s="130">
        <f t="shared" ref="BN62" si="202">IF(BJ62="-","-",EXP(BL62))</f>
        <v>103.00000000000001</v>
      </c>
      <c r="BO62" s="133">
        <f t="shared" ref="BO62" si="203">EXP(BL62+BM62*BM62/2)</f>
        <v>103.00000000000001</v>
      </c>
      <c r="BP62" s="133">
        <f t="shared" ref="BP62" si="204">SQRT((EXP(BM62*BM62)-1)*EXP(2*BL62+BM62*BM62))</f>
        <v>0</v>
      </c>
      <c r="BQ62" s="134">
        <f t="shared" ref="BQ62" si="205">BP62/BO62</f>
        <v>0</v>
      </c>
    </row>
    <row r="63" spans="1:69" x14ac:dyDescent="0.25">
      <c r="A63" t="s">
        <v>161</v>
      </c>
      <c r="B63" t="s">
        <v>377</v>
      </c>
      <c r="E63" s="152" t="str">
        <f>VLOOKUP(A63,Kleurtabel!$A$2:$F$822,6,FALSE)</f>
        <v>#80CCCC00</v>
      </c>
      <c r="F63" s="125">
        <f t="shared" si="152"/>
        <v>17</v>
      </c>
      <c r="G63" s="124">
        <f t="shared" si="152"/>
        <v>18</v>
      </c>
      <c r="H63" s="130">
        <f t="shared" si="45"/>
        <v>2.8617925509761903</v>
      </c>
      <c r="I63" s="131">
        <f t="shared" si="46"/>
        <v>1.7373378066853601E-2</v>
      </c>
      <c r="J63" s="130">
        <f t="shared" si="1"/>
        <v>17.4928556845359</v>
      </c>
      <c r="K63" s="133">
        <f t="shared" si="120"/>
        <v>17.495495855377509</v>
      </c>
      <c r="L63" s="133">
        <f t="shared" si="121"/>
        <v>0.30397880147861883</v>
      </c>
      <c r="M63" s="134">
        <f t="shared" si="47"/>
        <v>1.7374689119496221E-2</v>
      </c>
      <c r="N63" s="125">
        <f t="shared" si="153"/>
        <v>19</v>
      </c>
      <c r="O63" s="124">
        <f t="shared" si="153"/>
        <v>20</v>
      </c>
      <c r="P63" s="130">
        <f t="shared" si="48"/>
        <v>2.9700856263602153</v>
      </c>
      <c r="Q63" s="131">
        <f t="shared" si="49"/>
        <v>1.5590666987097445E-2</v>
      </c>
      <c r="R63" s="132">
        <f t="shared" si="50"/>
        <v>19.493588689617919</v>
      </c>
      <c r="S63" s="132">
        <f t="shared" si="122"/>
        <v>19.495957976141646</v>
      </c>
      <c r="T63" s="133">
        <f t="shared" si="123"/>
        <v>0.30397345983682589</v>
      </c>
      <c r="U63" s="134">
        <f t="shared" si="51"/>
        <v>1.5591614436634309E-2</v>
      </c>
      <c r="V63" s="155">
        <f t="shared" si="124"/>
        <v>33.200000000000003</v>
      </c>
      <c r="W63" s="140">
        <f t="shared" si="52"/>
        <v>34.812046266525151</v>
      </c>
      <c r="X63" s="130">
        <f t="shared" si="125"/>
        <v>3.5262566799441935</v>
      </c>
      <c r="Y63" s="131">
        <f t="shared" si="126"/>
        <v>1.4411431016261522E-2</v>
      </c>
      <c r="Z63" s="130">
        <f t="shared" si="127"/>
        <v>33.996469464469918</v>
      </c>
      <c r="AA63" s="128">
        <f t="shared" si="128"/>
        <v>34</v>
      </c>
      <c r="AB63" s="133">
        <f t="shared" si="129"/>
        <v>0.49001409700939824</v>
      </c>
      <c r="AC63" s="134">
        <f t="shared" si="130"/>
        <v>1.441217932380583E-2</v>
      </c>
      <c r="AD63" s="125" t="str">
        <f t="shared" si="131"/>
        <v>-</v>
      </c>
      <c r="AE63" s="140" t="str">
        <f t="shared" si="53"/>
        <v>-</v>
      </c>
      <c r="AF63" s="130" t="str">
        <f t="shared" si="132"/>
        <v>-</v>
      </c>
      <c r="AG63" s="131" t="str">
        <f t="shared" si="133"/>
        <v>-</v>
      </c>
      <c r="AH63" s="130" t="str">
        <f t="shared" si="134"/>
        <v>-</v>
      </c>
      <c r="AI63" s="128" t="str">
        <f t="shared" si="135"/>
        <v>-</v>
      </c>
      <c r="AJ63" s="133" t="str">
        <f t="shared" si="136"/>
        <v>-</v>
      </c>
      <c r="AK63" s="134" t="str">
        <f t="shared" si="137"/>
        <v>-</v>
      </c>
      <c r="AL63" s="125" t="str">
        <f t="shared" si="138"/>
        <v>-</v>
      </c>
      <c r="AM63" s="140" t="str">
        <f t="shared" si="54"/>
        <v>-</v>
      </c>
      <c r="AN63" s="130" t="str">
        <f t="shared" si="139"/>
        <v>-</v>
      </c>
      <c r="AO63" s="131" t="str">
        <f t="shared" si="140"/>
        <v>-</v>
      </c>
      <c r="AP63" s="130" t="str">
        <f t="shared" si="141"/>
        <v>-</v>
      </c>
      <c r="AQ63" s="128" t="str">
        <f t="shared" si="142"/>
        <v>-</v>
      </c>
      <c r="AR63" s="133" t="str">
        <f t="shared" si="143"/>
        <v>-</v>
      </c>
      <c r="AS63" s="134" t="str">
        <f t="shared" si="144"/>
        <v>-</v>
      </c>
      <c r="AT63" s="125" t="str">
        <f t="shared" si="145"/>
        <v>-</v>
      </c>
      <c r="AU63" s="140" t="str">
        <f t="shared" si="55"/>
        <v>-</v>
      </c>
      <c r="AV63" s="130" t="str">
        <f t="shared" si="146"/>
        <v>-</v>
      </c>
      <c r="AW63" s="131" t="str">
        <f t="shared" si="147"/>
        <v>-</v>
      </c>
      <c r="AX63" s="130" t="str">
        <f t="shared" si="148"/>
        <v>-</v>
      </c>
      <c r="AY63" s="128" t="str">
        <f t="shared" si="149"/>
        <v>-</v>
      </c>
      <c r="AZ63" s="133" t="str">
        <f t="shared" si="150"/>
        <v>-</v>
      </c>
      <c r="BA63" s="134" t="str">
        <f t="shared" si="151"/>
        <v>-</v>
      </c>
      <c r="BB63" s="125" t="str">
        <f t="shared" si="35"/>
        <v>-</v>
      </c>
      <c r="BC63" s="140" t="str">
        <f t="shared" si="56"/>
        <v>-</v>
      </c>
      <c r="BD63" s="130" t="str">
        <f t="shared" si="36"/>
        <v>-</v>
      </c>
      <c r="BE63" s="131" t="str">
        <f t="shared" si="37"/>
        <v>-</v>
      </c>
      <c r="BF63" s="130" t="str">
        <f t="shared" si="38"/>
        <v>-</v>
      </c>
      <c r="BG63" s="143" t="str">
        <f t="shared" si="57"/>
        <v>-</v>
      </c>
      <c r="BH63" s="133" t="str">
        <f t="shared" si="39"/>
        <v>-</v>
      </c>
      <c r="BI63" s="134" t="str">
        <f t="shared" si="40"/>
        <v>-</v>
      </c>
      <c r="BJ63" s="125">
        <f t="shared" si="154"/>
        <v>103</v>
      </c>
      <c r="BK63" s="124">
        <f t="shared" si="154"/>
        <v>103</v>
      </c>
      <c r="BL63" s="130">
        <f t="shared" si="58"/>
        <v>4.6347289882296359</v>
      </c>
      <c r="BM63" s="131">
        <f t="shared" si="59"/>
        <v>0</v>
      </c>
      <c r="BN63" s="130">
        <f t="shared" si="42"/>
        <v>103.00000000000001</v>
      </c>
      <c r="BO63" s="133">
        <f t="shared" si="43"/>
        <v>103.00000000000001</v>
      </c>
      <c r="BP63" s="133">
        <f t="shared" si="44"/>
        <v>0</v>
      </c>
      <c r="BQ63" s="134">
        <f t="shared" si="60"/>
        <v>0</v>
      </c>
    </row>
    <row r="64" spans="1:69" x14ac:dyDescent="0.25">
      <c r="A64" t="s">
        <v>395</v>
      </c>
      <c r="B64" t="s">
        <v>377</v>
      </c>
      <c r="E64" s="152" t="e">
        <f>VLOOKUP(A64,Kleurtabel!$A$2:$F$822,6,FALSE)</f>
        <v>#N/A</v>
      </c>
      <c r="F64" s="125">
        <f>F65</f>
        <v>19</v>
      </c>
      <c r="G64" s="125">
        <f t="shared" ref="G64:BQ64" si="206">G65</f>
        <v>20</v>
      </c>
      <c r="H64" s="125">
        <f t="shared" si="206"/>
        <v>2.9700856263602153</v>
      </c>
      <c r="I64" s="125">
        <f t="shared" si="206"/>
        <v>1.5590666987097445E-2</v>
      </c>
      <c r="J64" s="125">
        <f t="shared" si="206"/>
        <v>19.493588689617919</v>
      </c>
      <c r="K64" s="125">
        <f t="shared" si="206"/>
        <v>19.495957976141646</v>
      </c>
      <c r="L64" s="125">
        <f t="shared" si="206"/>
        <v>0.30397345983682589</v>
      </c>
      <c r="M64" s="125">
        <f t="shared" si="206"/>
        <v>1.5591614436634309E-2</v>
      </c>
      <c r="N64" s="125">
        <f t="shared" si="206"/>
        <v>19</v>
      </c>
      <c r="O64" s="125">
        <f t="shared" si="206"/>
        <v>20</v>
      </c>
      <c r="P64" s="125">
        <f t="shared" si="206"/>
        <v>2.9700856263602153</v>
      </c>
      <c r="Q64" s="125">
        <f t="shared" si="206"/>
        <v>1.5590666987097445E-2</v>
      </c>
      <c r="R64" s="125">
        <f t="shared" si="206"/>
        <v>19.493588689617919</v>
      </c>
      <c r="S64" s="125">
        <f t="shared" si="206"/>
        <v>19.495957976141646</v>
      </c>
      <c r="T64" s="125">
        <f t="shared" si="206"/>
        <v>0.30397345983682589</v>
      </c>
      <c r="U64" s="125">
        <f t="shared" si="206"/>
        <v>1.5591614436634309E-2</v>
      </c>
      <c r="V64" s="125">
        <f t="shared" si="206"/>
        <v>30.95</v>
      </c>
      <c r="W64" s="125">
        <f t="shared" si="206"/>
        <v>33.072180669348825</v>
      </c>
      <c r="X64" s="125">
        <f t="shared" si="206"/>
        <v>3.4655327324823864</v>
      </c>
      <c r="Y64" s="125">
        <f t="shared" si="206"/>
        <v>2.015789261506451E-2</v>
      </c>
      <c r="Z64" s="125">
        <f t="shared" si="206"/>
        <v>31.993499210251233</v>
      </c>
      <c r="AA64" s="125">
        <f t="shared" si="206"/>
        <v>32</v>
      </c>
      <c r="AB64" s="125">
        <f t="shared" si="206"/>
        <v>0.64511809699671463</v>
      </c>
      <c r="AC64" s="125">
        <f t="shared" si="206"/>
        <v>2.0159940531147332E-2</v>
      </c>
      <c r="AD64" s="125" t="str">
        <f t="shared" si="206"/>
        <v>-</v>
      </c>
      <c r="AE64" s="125" t="str">
        <f t="shared" si="206"/>
        <v>-</v>
      </c>
      <c r="AF64" s="125" t="str">
        <f t="shared" si="206"/>
        <v>-</v>
      </c>
      <c r="AG64" s="125" t="str">
        <f t="shared" si="206"/>
        <v>-</v>
      </c>
      <c r="AH64" s="125" t="str">
        <f t="shared" si="206"/>
        <v>-</v>
      </c>
      <c r="AI64" s="125" t="str">
        <f t="shared" si="206"/>
        <v>-</v>
      </c>
      <c r="AJ64" s="125" t="str">
        <f t="shared" si="206"/>
        <v>-</v>
      </c>
      <c r="AK64" s="125" t="str">
        <f t="shared" si="206"/>
        <v>-</v>
      </c>
      <c r="AL64" s="125" t="str">
        <f t="shared" si="206"/>
        <v>-</v>
      </c>
      <c r="AM64" s="125" t="str">
        <f t="shared" si="206"/>
        <v>-</v>
      </c>
      <c r="AN64" s="125" t="str">
        <f t="shared" si="206"/>
        <v>-</v>
      </c>
      <c r="AO64" s="125" t="str">
        <f t="shared" si="206"/>
        <v>-</v>
      </c>
      <c r="AP64" s="125" t="str">
        <f t="shared" si="206"/>
        <v>-</v>
      </c>
      <c r="AQ64" s="125" t="str">
        <f t="shared" si="206"/>
        <v>-</v>
      </c>
      <c r="AR64" s="125" t="str">
        <f t="shared" si="206"/>
        <v>-</v>
      </c>
      <c r="AS64" s="125" t="str">
        <f t="shared" si="206"/>
        <v>-</v>
      </c>
      <c r="AT64" s="125" t="str">
        <f t="shared" si="206"/>
        <v>-</v>
      </c>
      <c r="AU64" s="125" t="str">
        <f t="shared" si="206"/>
        <v>-</v>
      </c>
      <c r="AV64" s="125" t="str">
        <f t="shared" si="206"/>
        <v>-</v>
      </c>
      <c r="AW64" s="125" t="str">
        <f t="shared" si="206"/>
        <v>-</v>
      </c>
      <c r="AX64" s="125" t="str">
        <f t="shared" si="206"/>
        <v>-</v>
      </c>
      <c r="AY64" s="125" t="str">
        <f t="shared" si="206"/>
        <v>-</v>
      </c>
      <c r="AZ64" s="125" t="str">
        <f t="shared" si="206"/>
        <v>-</v>
      </c>
      <c r="BA64" s="125" t="str">
        <f t="shared" si="206"/>
        <v>-</v>
      </c>
      <c r="BB64" s="125" t="str">
        <f t="shared" si="206"/>
        <v>0.03*q_c;N</v>
      </c>
      <c r="BC64" s="125" t="e">
        <f t="shared" si="206"/>
        <v>#VALUE!</v>
      </c>
      <c r="BD64" s="125" t="e">
        <f t="shared" si="206"/>
        <v>#VALUE!</v>
      </c>
      <c r="BE64" s="125" t="e">
        <f t="shared" si="206"/>
        <v>#VALUE!</v>
      </c>
      <c r="BF64" s="125" t="e">
        <f t="shared" si="206"/>
        <v>#VALUE!</v>
      </c>
      <c r="BG64" s="125" t="str">
        <f t="shared" si="206"/>
        <v>0.03*q_c;N</v>
      </c>
      <c r="BH64" s="125" t="e">
        <f t="shared" si="206"/>
        <v>#VALUE!</v>
      </c>
      <c r="BI64" s="125" t="e">
        <f t="shared" si="206"/>
        <v>#VALUE!</v>
      </c>
      <c r="BJ64" s="125">
        <f t="shared" si="206"/>
        <v>103</v>
      </c>
      <c r="BK64" s="125">
        <f t="shared" si="206"/>
        <v>103</v>
      </c>
      <c r="BL64" s="125">
        <f t="shared" si="206"/>
        <v>4.6347289882296359</v>
      </c>
      <c r="BM64" s="125">
        <f t="shared" si="206"/>
        <v>0</v>
      </c>
      <c r="BN64" s="125">
        <f t="shared" si="206"/>
        <v>103.00000000000001</v>
      </c>
      <c r="BO64" s="125">
        <f t="shared" si="206"/>
        <v>103.00000000000001</v>
      </c>
      <c r="BP64" s="125">
        <f t="shared" si="206"/>
        <v>0</v>
      </c>
      <c r="BQ64" s="125">
        <f t="shared" si="206"/>
        <v>0</v>
      </c>
    </row>
    <row r="65" spans="1:69" x14ac:dyDescent="0.25">
      <c r="A65" t="s">
        <v>165</v>
      </c>
      <c r="B65" t="s">
        <v>377</v>
      </c>
      <c r="E65" s="152" t="str">
        <f>VLOOKUP(A65,Kleurtabel!$A$2:$F$822,6,FALSE)</f>
        <v>#80E7E200</v>
      </c>
      <c r="F65" s="125">
        <f t="shared" si="152"/>
        <v>19</v>
      </c>
      <c r="G65" s="124">
        <f t="shared" si="152"/>
        <v>20</v>
      </c>
      <c r="H65" s="130">
        <f t="shared" si="45"/>
        <v>2.9700856263602153</v>
      </c>
      <c r="I65" s="131">
        <f t="shared" si="46"/>
        <v>1.5590666987097445E-2</v>
      </c>
      <c r="J65" s="130">
        <f t="shared" si="1"/>
        <v>19.493588689617919</v>
      </c>
      <c r="K65" s="133">
        <f t="shared" si="120"/>
        <v>19.495957976141646</v>
      </c>
      <c r="L65" s="133">
        <f t="shared" si="121"/>
        <v>0.30397345983682589</v>
      </c>
      <c r="M65" s="134">
        <f t="shared" si="47"/>
        <v>1.5591614436634309E-2</v>
      </c>
      <c r="N65" s="125">
        <f t="shared" si="153"/>
        <v>19</v>
      </c>
      <c r="O65" s="124">
        <f t="shared" si="153"/>
        <v>20</v>
      </c>
      <c r="P65" s="130">
        <f t="shared" si="48"/>
        <v>2.9700856263602153</v>
      </c>
      <c r="Q65" s="131">
        <f t="shared" si="49"/>
        <v>1.5590666987097445E-2</v>
      </c>
      <c r="R65" s="132">
        <f t="shared" si="50"/>
        <v>19.493588689617919</v>
      </c>
      <c r="S65" s="132">
        <f t="shared" si="122"/>
        <v>19.495957976141646</v>
      </c>
      <c r="T65" s="133">
        <f t="shared" si="123"/>
        <v>0.30397345983682589</v>
      </c>
      <c r="U65" s="134">
        <f t="shared" si="51"/>
        <v>1.5591614436634309E-2</v>
      </c>
      <c r="V65" s="155">
        <f t="shared" si="124"/>
        <v>30.95</v>
      </c>
      <c r="W65" s="140">
        <f t="shared" si="52"/>
        <v>33.072180669348825</v>
      </c>
      <c r="X65" s="130">
        <f t="shared" si="125"/>
        <v>3.4655327324823864</v>
      </c>
      <c r="Y65" s="131">
        <f t="shared" si="126"/>
        <v>2.015789261506451E-2</v>
      </c>
      <c r="Z65" s="130">
        <f t="shared" si="127"/>
        <v>31.993499210251233</v>
      </c>
      <c r="AA65" s="128">
        <f t="shared" si="128"/>
        <v>32</v>
      </c>
      <c r="AB65" s="133">
        <f t="shared" si="129"/>
        <v>0.64511809699671463</v>
      </c>
      <c r="AC65" s="134">
        <f t="shared" si="130"/>
        <v>2.0159940531147332E-2</v>
      </c>
      <c r="AD65" s="125" t="str">
        <f t="shared" si="131"/>
        <v>-</v>
      </c>
      <c r="AE65" s="140" t="str">
        <f t="shared" si="53"/>
        <v>-</v>
      </c>
      <c r="AF65" s="130" t="str">
        <f t="shared" si="132"/>
        <v>-</v>
      </c>
      <c r="AG65" s="131" t="str">
        <f t="shared" si="133"/>
        <v>-</v>
      </c>
      <c r="AH65" s="130" t="str">
        <f t="shared" si="134"/>
        <v>-</v>
      </c>
      <c r="AI65" s="128" t="str">
        <f t="shared" si="135"/>
        <v>-</v>
      </c>
      <c r="AJ65" s="133" t="str">
        <f t="shared" si="136"/>
        <v>-</v>
      </c>
      <c r="AK65" s="134" t="str">
        <f t="shared" si="137"/>
        <v>-</v>
      </c>
      <c r="AL65" s="125" t="str">
        <f t="shared" si="138"/>
        <v>-</v>
      </c>
      <c r="AM65" s="140" t="str">
        <f t="shared" si="54"/>
        <v>-</v>
      </c>
      <c r="AN65" s="130" t="str">
        <f t="shared" si="139"/>
        <v>-</v>
      </c>
      <c r="AO65" s="131" t="str">
        <f t="shared" si="140"/>
        <v>-</v>
      </c>
      <c r="AP65" s="130" t="str">
        <f t="shared" si="141"/>
        <v>-</v>
      </c>
      <c r="AQ65" s="128" t="str">
        <f t="shared" si="142"/>
        <v>-</v>
      </c>
      <c r="AR65" s="133" t="str">
        <f t="shared" si="143"/>
        <v>-</v>
      </c>
      <c r="AS65" s="134" t="str">
        <f t="shared" si="144"/>
        <v>-</v>
      </c>
      <c r="AT65" s="125" t="str">
        <f t="shared" si="145"/>
        <v>-</v>
      </c>
      <c r="AU65" s="140" t="str">
        <f t="shared" si="55"/>
        <v>-</v>
      </c>
      <c r="AV65" s="130" t="str">
        <f t="shared" si="146"/>
        <v>-</v>
      </c>
      <c r="AW65" s="131" t="str">
        <f t="shared" si="147"/>
        <v>-</v>
      </c>
      <c r="AX65" s="130" t="str">
        <f t="shared" si="148"/>
        <v>-</v>
      </c>
      <c r="AY65" s="128" t="str">
        <f t="shared" si="149"/>
        <v>-</v>
      </c>
      <c r="AZ65" s="133" t="str">
        <f t="shared" si="150"/>
        <v>-</v>
      </c>
      <c r="BA65" s="134" t="str">
        <f t="shared" si="151"/>
        <v>-</v>
      </c>
      <c r="BB65" s="125" t="str">
        <f t="shared" si="35"/>
        <v>0.03*q_c;N</v>
      </c>
      <c r="BC65" s="140" t="e">
        <f t="shared" si="56"/>
        <v>#VALUE!</v>
      </c>
      <c r="BD65" s="130" t="e">
        <f t="shared" si="36"/>
        <v>#VALUE!</v>
      </c>
      <c r="BE65" s="131" t="e">
        <f t="shared" si="37"/>
        <v>#VALUE!</v>
      </c>
      <c r="BF65" s="130" t="e">
        <f t="shared" si="38"/>
        <v>#VALUE!</v>
      </c>
      <c r="BG65" s="143" t="str">
        <f t="shared" si="57"/>
        <v>0.03*q_c;N</v>
      </c>
      <c r="BH65" s="133" t="e">
        <f t="shared" si="39"/>
        <v>#VALUE!</v>
      </c>
      <c r="BI65" s="134" t="e">
        <f t="shared" si="40"/>
        <v>#VALUE!</v>
      </c>
      <c r="BJ65" s="125">
        <f t="shared" si="154"/>
        <v>103</v>
      </c>
      <c r="BK65" s="124">
        <f t="shared" si="154"/>
        <v>103</v>
      </c>
      <c r="BL65" s="130">
        <f t="shared" si="58"/>
        <v>4.6347289882296359</v>
      </c>
      <c r="BM65" s="131">
        <f t="shared" si="59"/>
        <v>0</v>
      </c>
      <c r="BN65" s="130">
        <f t="shared" si="42"/>
        <v>103.00000000000001</v>
      </c>
      <c r="BO65" s="133">
        <f t="shared" si="43"/>
        <v>103.00000000000001</v>
      </c>
      <c r="BP65" s="133">
        <f t="shared" si="44"/>
        <v>0</v>
      </c>
      <c r="BQ65" s="134">
        <f t="shared" si="60"/>
        <v>0</v>
      </c>
    </row>
    <row r="66" spans="1:69" x14ac:dyDescent="0.25">
      <c r="A66" t="s">
        <v>169</v>
      </c>
      <c r="B66" t="s">
        <v>376</v>
      </c>
      <c r="E66" s="152" t="str">
        <f>VLOOKUP(A66,Kleurtabel!$A$2:$F$822,6,FALSE)</f>
        <v>#80808000</v>
      </c>
      <c r="F66" s="125">
        <f t="shared" si="152"/>
        <v>15</v>
      </c>
      <c r="G66" s="124">
        <f t="shared" si="152"/>
        <v>18</v>
      </c>
      <c r="H66" s="130">
        <f t="shared" si="45"/>
        <v>2.7992109794991871</v>
      </c>
      <c r="I66" s="131">
        <f t="shared" si="46"/>
        <v>5.5416886563511993E-2</v>
      </c>
      <c r="J66" s="130">
        <f t="shared" si="1"/>
        <v>16.431676725154979</v>
      </c>
      <c r="K66" s="133">
        <f t="shared" si="120"/>
        <v>16.456927203347885</v>
      </c>
      <c r="L66" s="133">
        <f t="shared" si="121"/>
        <v>0.9126923049410256</v>
      </c>
      <c r="M66" s="134">
        <f t="shared" si="47"/>
        <v>5.545946054591247E-2</v>
      </c>
      <c r="N66" s="125">
        <f t="shared" si="153"/>
        <v>15</v>
      </c>
      <c r="O66" s="124">
        <f t="shared" si="153"/>
        <v>18</v>
      </c>
      <c r="P66" s="130">
        <f t="shared" si="48"/>
        <v>2.7992109794991871</v>
      </c>
      <c r="Q66" s="131">
        <f t="shared" si="49"/>
        <v>5.5416886563511993E-2</v>
      </c>
      <c r="R66" s="132">
        <f t="shared" si="50"/>
        <v>16.431676725154979</v>
      </c>
      <c r="S66" s="132">
        <f t="shared" si="122"/>
        <v>16.456927203347885</v>
      </c>
      <c r="T66" s="133">
        <f t="shared" si="123"/>
        <v>0.9126923049410256</v>
      </c>
      <c r="U66" s="134">
        <f t="shared" si="51"/>
        <v>5.545946054591247E-2</v>
      </c>
      <c r="V66" s="155">
        <f t="shared" si="124"/>
        <v>30.95</v>
      </c>
      <c r="W66" s="140">
        <f t="shared" si="52"/>
        <v>33.072180669348825</v>
      </c>
      <c r="X66" s="130">
        <f t="shared" si="125"/>
        <v>3.4655327324823864</v>
      </c>
      <c r="Y66" s="131">
        <f t="shared" si="126"/>
        <v>2.015789261506451E-2</v>
      </c>
      <c r="Z66" s="130">
        <f t="shared" si="127"/>
        <v>31.993499210251233</v>
      </c>
      <c r="AA66" s="128">
        <f t="shared" si="128"/>
        <v>32</v>
      </c>
      <c r="AB66" s="133">
        <f t="shared" si="129"/>
        <v>0.64511809699671463</v>
      </c>
      <c r="AC66" s="134">
        <f t="shared" si="130"/>
        <v>2.0159940531147332E-2</v>
      </c>
      <c r="AD66" s="125">
        <f t="shared" si="131"/>
        <v>0.25900000000000001</v>
      </c>
      <c r="AE66" s="140">
        <f t="shared" si="53"/>
        <v>0.26502181438571959</v>
      </c>
      <c r="AF66" s="130">
        <f t="shared" si="132"/>
        <v>-1.3394351776149065</v>
      </c>
      <c r="AG66" s="131">
        <f t="shared" si="133"/>
        <v>6.9860423511809433E-3</v>
      </c>
      <c r="AH66" s="130">
        <f t="shared" si="134"/>
        <v>0.26199360665081384</v>
      </c>
      <c r="AI66" s="128">
        <f t="shared" si="135"/>
        <v>0.26200000000000001</v>
      </c>
      <c r="AJ66" s="133">
        <f t="shared" si="136"/>
        <v>1.8303654286145486E-3</v>
      </c>
      <c r="AK66" s="134">
        <f t="shared" si="137"/>
        <v>6.9861275901318643E-3</v>
      </c>
      <c r="AL66" s="125">
        <f t="shared" si="138"/>
        <v>0.89200000000000002</v>
      </c>
      <c r="AM66" s="140">
        <f t="shared" si="54"/>
        <v>0.90804508506493276</v>
      </c>
      <c r="AN66" s="130">
        <f t="shared" si="139"/>
        <v>-0.10537519743021823</v>
      </c>
      <c r="AO66" s="131">
        <f t="shared" si="140"/>
        <v>5.4188139646866862E-3</v>
      </c>
      <c r="AP66" s="130">
        <f t="shared" si="141"/>
        <v>0.89998678650184627</v>
      </c>
      <c r="AQ66" s="128">
        <f t="shared" si="142"/>
        <v>0.9</v>
      </c>
      <c r="AR66" s="133">
        <f t="shared" si="143"/>
        <v>4.8769683694481559E-3</v>
      </c>
      <c r="AS66" s="134">
        <f t="shared" si="144"/>
        <v>5.4188537438312843E-3</v>
      </c>
      <c r="AT66" s="125">
        <f t="shared" si="145"/>
        <v>28.42</v>
      </c>
      <c r="AU66" s="140">
        <f t="shared" si="55"/>
        <v>75.763974700376622</v>
      </c>
      <c r="AV66" s="130">
        <f t="shared" si="146"/>
        <v>3.8373580172683415</v>
      </c>
      <c r="AW66" s="131">
        <f t="shared" si="147"/>
        <v>0.29803337057713475</v>
      </c>
      <c r="AX66" s="130">
        <f t="shared" si="148"/>
        <v>46.402717172431885</v>
      </c>
      <c r="AY66" s="128">
        <f t="shared" si="149"/>
        <v>48.51</v>
      </c>
      <c r="AZ66" s="133">
        <f t="shared" si="150"/>
        <v>14.784664711090059</v>
      </c>
      <c r="BA66" s="134">
        <f t="shared" si="151"/>
        <v>0.30477560731993525</v>
      </c>
      <c r="BB66" s="125">
        <f t="shared" si="35"/>
        <v>8</v>
      </c>
      <c r="BC66" s="140">
        <f t="shared" si="56"/>
        <v>7.9999999999999982</v>
      </c>
      <c r="BD66" s="130">
        <f t="shared" si="36"/>
        <v>2.0794415416798357</v>
      </c>
      <c r="BE66" s="131">
        <f t="shared" si="37"/>
        <v>0</v>
      </c>
      <c r="BF66" s="130">
        <f t="shared" si="38"/>
        <v>7.9999999999999982</v>
      </c>
      <c r="BG66" s="143">
        <f t="shared" si="57"/>
        <v>8</v>
      </c>
      <c r="BH66" s="133">
        <f t="shared" si="39"/>
        <v>0</v>
      </c>
      <c r="BI66" s="134">
        <f t="shared" si="40"/>
        <v>0</v>
      </c>
      <c r="BJ66" s="125">
        <f t="shared" si="154"/>
        <v>103</v>
      </c>
      <c r="BK66" s="124">
        <f t="shared" si="154"/>
        <v>103</v>
      </c>
      <c r="BL66" s="130">
        <f t="shared" si="58"/>
        <v>4.6347289882296359</v>
      </c>
      <c r="BM66" s="131">
        <f t="shared" si="59"/>
        <v>0</v>
      </c>
      <c r="BN66" s="130">
        <f t="shared" si="42"/>
        <v>103.00000000000001</v>
      </c>
      <c r="BO66" s="133">
        <f t="shared" si="43"/>
        <v>103.00000000000001</v>
      </c>
      <c r="BP66" s="133">
        <f t="shared" si="44"/>
        <v>0</v>
      </c>
      <c r="BQ66" s="134">
        <f t="shared" si="60"/>
        <v>0</v>
      </c>
    </row>
    <row r="67" spans="1:69" x14ac:dyDescent="0.25">
      <c r="A67" t="s">
        <v>172</v>
      </c>
      <c r="B67" t="s">
        <v>377</v>
      </c>
      <c r="E67" s="152" t="str">
        <f>VLOOKUP(A67,Kleurtabel!$A$2:$F$822,6,FALSE)</f>
        <v>#80FFCC00</v>
      </c>
      <c r="F67" s="125">
        <f t="shared" si="152"/>
        <v>17</v>
      </c>
      <c r="G67" s="124">
        <f t="shared" si="152"/>
        <v>18</v>
      </c>
      <c r="H67" s="130">
        <f t="shared" si="45"/>
        <v>2.8617925509761903</v>
      </c>
      <c r="I67" s="131">
        <f t="shared" si="46"/>
        <v>1.7373378066853601E-2</v>
      </c>
      <c r="J67" s="130">
        <f t="shared" si="1"/>
        <v>17.4928556845359</v>
      </c>
      <c r="K67" s="133">
        <f t="shared" si="120"/>
        <v>17.495495855377509</v>
      </c>
      <c r="L67" s="133">
        <f t="shared" si="121"/>
        <v>0.30397880147861883</v>
      </c>
      <c r="M67" s="134">
        <f t="shared" si="47"/>
        <v>1.7374689119496221E-2</v>
      </c>
      <c r="N67" s="125">
        <f t="shared" si="153"/>
        <v>19</v>
      </c>
      <c r="O67" s="124">
        <f t="shared" si="153"/>
        <v>20</v>
      </c>
      <c r="P67" s="130">
        <f t="shared" si="48"/>
        <v>2.9700856263602153</v>
      </c>
      <c r="Q67" s="131">
        <f t="shared" si="49"/>
        <v>1.5590666987097445E-2</v>
      </c>
      <c r="R67" s="132">
        <f t="shared" si="50"/>
        <v>19.493588689617919</v>
      </c>
      <c r="S67" s="132">
        <f t="shared" si="122"/>
        <v>19.495957976141646</v>
      </c>
      <c r="T67" s="133">
        <f t="shared" si="123"/>
        <v>0.30397345983682589</v>
      </c>
      <c r="U67" s="134">
        <f t="shared" si="51"/>
        <v>1.5591614436634309E-2</v>
      </c>
      <c r="V67" s="155">
        <f t="shared" si="124"/>
        <v>29.3</v>
      </c>
      <c r="W67" s="140">
        <f t="shared" si="52"/>
        <v>30.710451331521643</v>
      </c>
      <c r="X67" s="130">
        <f t="shared" si="125"/>
        <v>3.4010952734665505</v>
      </c>
      <c r="Y67" s="131">
        <f t="shared" si="126"/>
        <v>1.4290430056856263E-2</v>
      </c>
      <c r="Z67" s="130">
        <f t="shared" si="127"/>
        <v>29.996936910517785</v>
      </c>
      <c r="AA67" s="128">
        <f t="shared" si="128"/>
        <v>30</v>
      </c>
      <c r="AB67" s="133">
        <f t="shared" si="129"/>
        <v>0.42873479018725685</v>
      </c>
      <c r="AC67" s="134">
        <f t="shared" si="130"/>
        <v>1.4291159672908562E-2</v>
      </c>
      <c r="AD67" s="125" t="str">
        <f t="shared" si="131"/>
        <v>-</v>
      </c>
      <c r="AE67" s="140" t="str">
        <f t="shared" si="53"/>
        <v>-</v>
      </c>
      <c r="AF67" s="130" t="str">
        <f t="shared" si="132"/>
        <v>-</v>
      </c>
      <c r="AG67" s="131" t="str">
        <f t="shared" si="133"/>
        <v>-</v>
      </c>
      <c r="AH67" s="130" t="str">
        <f t="shared" si="134"/>
        <v>-</v>
      </c>
      <c r="AI67" s="128" t="str">
        <f t="shared" si="135"/>
        <v>-</v>
      </c>
      <c r="AJ67" s="133" t="str">
        <f t="shared" si="136"/>
        <v>-</v>
      </c>
      <c r="AK67" s="134" t="str">
        <f t="shared" si="137"/>
        <v>-</v>
      </c>
      <c r="AL67" s="125" t="str">
        <f t="shared" si="138"/>
        <v>-</v>
      </c>
      <c r="AM67" s="140" t="str">
        <f t="shared" si="54"/>
        <v>-</v>
      </c>
      <c r="AN67" s="130" t="str">
        <f t="shared" si="139"/>
        <v>-</v>
      </c>
      <c r="AO67" s="131" t="str">
        <f t="shared" si="140"/>
        <v>-</v>
      </c>
      <c r="AP67" s="130" t="str">
        <f t="shared" si="141"/>
        <v>-</v>
      </c>
      <c r="AQ67" s="128" t="str">
        <f t="shared" si="142"/>
        <v>-</v>
      </c>
      <c r="AR67" s="133" t="str">
        <f t="shared" si="143"/>
        <v>-</v>
      </c>
      <c r="AS67" s="134" t="str">
        <f t="shared" si="144"/>
        <v>-</v>
      </c>
      <c r="AT67" s="125" t="str">
        <f t="shared" si="145"/>
        <v>-</v>
      </c>
      <c r="AU67" s="140" t="str">
        <f t="shared" si="55"/>
        <v>-</v>
      </c>
      <c r="AV67" s="130" t="str">
        <f t="shared" si="146"/>
        <v>-</v>
      </c>
      <c r="AW67" s="131" t="str">
        <f t="shared" si="147"/>
        <v>-</v>
      </c>
      <c r="AX67" s="130" t="str">
        <f t="shared" si="148"/>
        <v>-</v>
      </c>
      <c r="AY67" s="128" t="str">
        <f t="shared" si="149"/>
        <v>-</v>
      </c>
      <c r="AZ67" s="133" t="str">
        <f t="shared" si="150"/>
        <v>-</v>
      </c>
      <c r="BA67" s="134" t="str">
        <f t="shared" si="151"/>
        <v>-</v>
      </c>
      <c r="BB67" s="125" t="str">
        <f t="shared" si="35"/>
        <v>-</v>
      </c>
      <c r="BC67" s="140" t="str">
        <f t="shared" si="56"/>
        <v>-</v>
      </c>
      <c r="BD67" s="130" t="str">
        <f t="shared" si="36"/>
        <v>-</v>
      </c>
      <c r="BE67" s="131" t="str">
        <f t="shared" si="37"/>
        <v>-</v>
      </c>
      <c r="BF67" s="130" t="str">
        <f t="shared" si="38"/>
        <v>-</v>
      </c>
      <c r="BG67" s="143" t="str">
        <f t="shared" si="57"/>
        <v>-</v>
      </c>
      <c r="BH67" s="133" t="str">
        <f t="shared" si="39"/>
        <v>-</v>
      </c>
      <c r="BI67" s="134" t="str">
        <f t="shared" si="40"/>
        <v>-</v>
      </c>
      <c r="BJ67" s="125">
        <f t="shared" si="154"/>
        <v>103</v>
      </c>
      <c r="BK67" s="124">
        <f t="shared" si="154"/>
        <v>103</v>
      </c>
      <c r="BL67" s="130">
        <f t="shared" si="58"/>
        <v>4.6347289882296359</v>
      </c>
      <c r="BM67" s="131">
        <f t="shared" si="59"/>
        <v>0</v>
      </c>
      <c r="BN67" s="130">
        <f t="shared" si="42"/>
        <v>103.00000000000001</v>
      </c>
      <c r="BO67" s="133">
        <f t="shared" si="43"/>
        <v>103.00000000000001</v>
      </c>
      <c r="BP67" s="133">
        <f t="shared" si="44"/>
        <v>0</v>
      </c>
      <c r="BQ67" s="134">
        <f t="shared" si="60"/>
        <v>0</v>
      </c>
    </row>
    <row r="68" spans="1:69" x14ac:dyDescent="0.25">
      <c r="A68" t="s">
        <v>175</v>
      </c>
      <c r="B68" t="s">
        <v>377</v>
      </c>
      <c r="E68" s="152" t="str">
        <f>VLOOKUP(A68,Kleurtabel!$A$2:$F$822,6,FALSE)</f>
        <v>#80FFFF66</v>
      </c>
      <c r="F68" s="125">
        <f t="shared" si="152"/>
        <v>17</v>
      </c>
      <c r="G68" s="124">
        <f t="shared" si="152"/>
        <v>18</v>
      </c>
      <c r="H68" s="130">
        <f t="shared" si="45"/>
        <v>2.8617925509761903</v>
      </c>
      <c r="I68" s="131">
        <f t="shared" si="46"/>
        <v>1.7373378066853601E-2</v>
      </c>
      <c r="J68" s="130">
        <f t="shared" si="1"/>
        <v>17.4928556845359</v>
      </c>
      <c r="K68" s="133">
        <f t="shared" si="120"/>
        <v>17.495495855377509</v>
      </c>
      <c r="L68" s="133">
        <f t="shared" si="121"/>
        <v>0.30397880147861883</v>
      </c>
      <c r="M68" s="134">
        <f t="shared" si="47"/>
        <v>1.7374689119496221E-2</v>
      </c>
      <c r="N68" s="125">
        <f t="shared" si="153"/>
        <v>19</v>
      </c>
      <c r="O68" s="124">
        <f t="shared" si="153"/>
        <v>20</v>
      </c>
      <c r="P68" s="130">
        <f t="shared" si="48"/>
        <v>2.9700856263602153</v>
      </c>
      <c r="Q68" s="131">
        <f t="shared" si="49"/>
        <v>1.5590666987097445E-2</v>
      </c>
      <c r="R68" s="132">
        <f t="shared" si="50"/>
        <v>19.493588689617919</v>
      </c>
      <c r="S68" s="132">
        <f t="shared" si="122"/>
        <v>19.495957976141646</v>
      </c>
      <c r="T68" s="133">
        <f t="shared" si="123"/>
        <v>0.30397345983682589</v>
      </c>
      <c r="U68" s="134">
        <f t="shared" si="51"/>
        <v>1.5591614436634309E-2</v>
      </c>
      <c r="V68" s="155">
        <f t="shared" si="124"/>
        <v>29.3</v>
      </c>
      <c r="W68" s="140">
        <f t="shared" si="52"/>
        <v>30.710451331521643</v>
      </c>
      <c r="X68" s="130">
        <f t="shared" si="125"/>
        <v>3.4010952734665505</v>
      </c>
      <c r="Y68" s="131">
        <f t="shared" si="126"/>
        <v>1.4290430056856263E-2</v>
      </c>
      <c r="Z68" s="130">
        <f t="shared" si="127"/>
        <v>29.996936910517785</v>
      </c>
      <c r="AA68" s="128">
        <f t="shared" si="128"/>
        <v>30</v>
      </c>
      <c r="AB68" s="133">
        <f t="shared" si="129"/>
        <v>0.42873479018725685</v>
      </c>
      <c r="AC68" s="134">
        <f t="shared" si="130"/>
        <v>1.4291159672908562E-2</v>
      </c>
      <c r="AD68" s="125" t="str">
        <f t="shared" si="131"/>
        <v>-</v>
      </c>
      <c r="AE68" s="140" t="str">
        <f t="shared" si="53"/>
        <v>-</v>
      </c>
      <c r="AF68" s="130" t="str">
        <f t="shared" si="132"/>
        <v>-</v>
      </c>
      <c r="AG68" s="131" t="str">
        <f t="shared" si="133"/>
        <v>-</v>
      </c>
      <c r="AH68" s="130" t="str">
        <f t="shared" si="134"/>
        <v>-</v>
      </c>
      <c r="AI68" s="128" t="str">
        <f t="shared" si="135"/>
        <v>-</v>
      </c>
      <c r="AJ68" s="133" t="str">
        <f t="shared" si="136"/>
        <v>-</v>
      </c>
      <c r="AK68" s="134" t="str">
        <f t="shared" si="137"/>
        <v>-</v>
      </c>
      <c r="AL68" s="125" t="str">
        <f t="shared" si="138"/>
        <v>-</v>
      </c>
      <c r="AM68" s="140" t="str">
        <f t="shared" si="54"/>
        <v>-</v>
      </c>
      <c r="AN68" s="130" t="str">
        <f t="shared" si="139"/>
        <v>-</v>
      </c>
      <c r="AO68" s="131" t="str">
        <f t="shared" si="140"/>
        <v>-</v>
      </c>
      <c r="AP68" s="130" t="str">
        <f t="shared" si="141"/>
        <v>-</v>
      </c>
      <c r="AQ68" s="128" t="str">
        <f t="shared" si="142"/>
        <v>-</v>
      </c>
      <c r="AR68" s="133" t="str">
        <f t="shared" si="143"/>
        <v>-</v>
      </c>
      <c r="AS68" s="134" t="str">
        <f t="shared" si="144"/>
        <v>-</v>
      </c>
      <c r="AT68" s="125" t="str">
        <f t="shared" si="145"/>
        <v>-</v>
      </c>
      <c r="AU68" s="140" t="str">
        <f t="shared" si="55"/>
        <v>-</v>
      </c>
      <c r="AV68" s="130" t="str">
        <f t="shared" si="146"/>
        <v>-</v>
      </c>
      <c r="AW68" s="131" t="str">
        <f t="shared" si="147"/>
        <v>-</v>
      </c>
      <c r="AX68" s="130" t="str">
        <f t="shared" si="148"/>
        <v>-</v>
      </c>
      <c r="AY68" s="128" t="str">
        <f t="shared" si="149"/>
        <v>-</v>
      </c>
      <c r="AZ68" s="133" t="str">
        <f t="shared" si="150"/>
        <v>-</v>
      </c>
      <c r="BA68" s="134" t="str">
        <f t="shared" si="151"/>
        <v>-</v>
      </c>
      <c r="BB68" s="125" t="str">
        <f t="shared" si="35"/>
        <v>-</v>
      </c>
      <c r="BC68" s="140" t="str">
        <f t="shared" si="56"/>
        <v>-</v>
      </c>
      <c r="BD68" s="130" t="str">
        <f t="shared" si="36"/>
        <v>-</v>
      </c>
      <c r="BE68" s="131" t="str">
        <f t="shared" si="37"/>
        <v>-</v>
      </c>
      <c r="BF68" s="130" t="str">
        <f t="shared" si="38"/>
        <v>-</v>
      </c>
      <c r="BG68" s="143" t="str">
        <f t="shared" si="57"/>
        <v>-</v>
      </c>
      <c r="BH68" s="133" t="str">
        <f t="shared" si="39"/>
        <v>-</v>
      </c>
      <c r="BI68" s="134" t="str">
        <f t="shared" si="40"/>
        <v>-</v>
      </c>
      <c r="BJ68" s="125">
        <f t="shared" si="154"/>
        <v>103</v>
      </c>
      <c r="BK68" s="124">
        <f t="shared" si="154"/>
        <v>103</v>
      </c>
      <c r="BL68" s="130">
        <f t="shared" si="58"/>
        <v>4.6347289882296359</v>
      </c>
      <c r="BM68" s="131">
        <f t="shared" si="59"/>
        <v>0</v>
      </c>
      <c r="BN68" s="130">
        <f t="shared" si="42"/>
        <v>103.00000000000001</v>
      </c>
      <c r="BO68" s="133">
        <f t="shared" si="43"/>
        <v>103.00000000000001</v>
      </c>
      <c r="BP68" s="133">
        <f t="shared" si="44"/>
        <v>0</v>
      </c>
      <c r="BQ68" s="134">
        <f t="shared" si="60"/>
        <v>0</v>
      </c>
    </row>
    <row r="69" spans="1:69" x14ac:dyDescent="0.25">
      <c r="A69" t="s">
        <v>177</v>
      </c>
      <c r="B69" t="s">
        <v>376</v>
      </c>
      <c r="E69" s="152" t="str">
        <f>VLOOKUP(A69,Kleurtabel!$A$2:$F$822,6,FALSE)</f>
        <v>#80808000</v>
      </c>
      <c r="F69" s="125">
        <f t="shared" si="152"/>
        <v>19</v>
      </c>
      <c r="G69" s="124">
        <f t="shared" si="152"/>
        <v>20</v>
      </c>
      <c r="H69" s="130">
        <f t="shared" si="45"/>
        <v>2.9700856263602153</v>
      </c>
      <c r="I69" s="131">
        <f t="shared" si="46"/>
        <v>1.5590666987097445E-2</v>
      </c>
      <c r="J69" s="130">
        <f t="shared" si="1"/>
        <v>19.493588689617919</v>
      </c>
      <c r="K69" s="133">
        <f t="shared" si="120"/>
        <v>19.495957976141646</v>
      </c>
      <c r="L69" s="133">
        <f t="shared" si="121"/>
        <v>0.30397345983682589</v>
      </c>
      <c r="M69" s="134">
        <f t="shared" si="47"/>
        <v>1.5591614436634309E-2</v>
      </c>
      <c r="N69" s="125">
        <f t="shared" si="153"/>
        <v>19</v>
      </c>
      <c r="O69" s="124">
        <f t="shared" si="153"/>
        <v>20</v>
      </c>
      <c r="P69" s="130">
        <f t="shared" si="48"/>
        <v>2.9700856263602153</v>
      </c>
      <c r="Q69" s="131">
        <f t="shared" si="49"/>
        <v>1.5590666987097445E-2</v>
      </c>
      <c r="R69" s="132">
        <f t="shared" si="50"/>
        <v>19.493588689617919</v>
      </c>
      <c r="S69" s="132">
        <f t="shared" si="122"/>
        <v>19.495957976141646</v>
      </c>
      <c r="T69" s="133">
        <f t="shared" si="123"/>
        <v>0.30397345983682589</v>
      </c>
      <c r="U69" s="134">
        <f t="shared" si="51"/>
        <v>1.5591614436634309E-2</v>
      </c>
      <c r="V69" s="155">
        <f t="shared" si="124"/>
        <v>30.95</v>
      </c>
      <c r="W69" s="140">
        <f t="shared" si="52"/>
        <v>33.072180669348825</v>
      </c>
      <c r="X69" s="130">
        <f t="shared" si="125"/>
        <v>3.4655327324823864</v>
      </c>
      <c r="Y69" s="131">
        <f t="shared" si="126"/>
        <v>2.015789261506451E-2</v>
      </c>
      <c r="Z69" s="130">
        <f t="shared" si="127"/>
        <v>31.993499210251233</v>
      </c>
      <c r="AA69" s="128">
        <f t="shared" si="128"/>
        <v>32</v>
      </c>
      <c r="AB69" s="133">
        <f t="shared" si="129"/>
        <v>0.64511809699671463</v>
      </c>
      <c r="AC69" s="134">
        <f t="shared" si="130"/>
        <v>2.0159940531147332E-2</v>
      </c>
      <c r="AD69" s="125" t="str">
        <f t="shared" si="131"/>
        <v>-</v>
      </c>
      <c r="AE69" s="140" t="str">
        <f t="shared" si="53"/>
        <v>-</v>
      </c>
      <c r="AF69" s="130" t="str">
        <f t="shared" si="132"/>
        <v>-</v>
      </c>
      <c r="AG69" s="131" t="str">
        <f t="shared" si="133"/>
        <v>-</v>
      </c>
      <c r="AH69" s="130" t="str">
        <f t="shared" si="134"/>
        <v>-</v>
      </c>
      <c r="AI69" s="128" t="str">
        <f t="shared" si="135"/>
        <v>-</v>
      </c>
      <c r="AJ69" s="133" t="str">
        <f t="shared" si="136"/>
        <v>-</v>
      </c>
      <c r="AK69" s="134" t="str">
        <f t="shared" si="137"/>
        <v>-</v>
      </c>
      <c r="AL69" s="125" t="str">
        <f t="shared" si="138"/>
        <v>-</v>
      </c>
      <c r="AM69" s="140" t="str">
        <f t="shared" si="54"/>
        <v>-</v>
      </c>
      <c r="AN69" s="130" t="str">
        <f t="shared" si="139"/>
        <v>-</v>
      </c>
      <c r="AO69" s="131" t="str">
        <f t="shared" si="140"/>
        <v>-</v>
      </c>
      <c r="AP69" s="130" t="str">
        <f t="shared" si="141"/>
        <v>-</v>
      </c>
      <c r="AQ69" s="128" t="str">
        <f t="shared" si="142"/>
        <v>-</v>
      </c>
      <c r="AR69" s="133" t="str">
        <f t="shared" si="143"/>
        <v>-</v>
      </c>
      <c r="AS69" s="134" t="str">
        <f t="shared" si="144"/>
        <v>-</v>
      </c>
      <c r="AT69" s="125" t="str">
        <f t="shared" si="145"/>
        <v>-</v>
      </c>
      <c r="AU69" s="140" t="str">
        <f t="shared" si="55"/>
        <v>-</v>
      </c>
      <c r="AV69" s="130" t="str">
        <f t="shared" si="146"/>
        <v>-</v>
      </c>
      <c r="AW69" s="131" t="str">
        <f t="shared" si="147"/>
        <v>-</v>
      </c>
      <c r="AX69" s="130" t="str">
        <f t="shared" si="148"/>
        <v>-</v>
      </c>
      <c r="AY69" s="128" t="str">
        <f t="shared" si="149"/>
        <v>-</v>
      </c>
      <c r="AZ69" s="133" t="str">
        <f t="shared" si="150"/>
        <v>-</v>
      </c>
      <c r="BA69" s="134" t="str">
        <f t="shared" si="151"/>
        <v>-</v>
      </c>
      <c r="BB69" s="125" t="str">
        <f t="shared" si="35"/>
        <v>0.03*qc;n</v>
      </c>
      <c r="BC69" s="140" t="e">
        <f t="shared" si="56"/>
        <v>#VALUE!</v>
      </c>
      <c r="BD69" s="130" t="e">
        <f t="shared" si="36"/>
        <v>#VALUE!</v>
      </c>
      <c r="BE69" s="131" t="e">
        <f t="shared" si="37"/>
        <v>#VALUE!</v>
      </c>
      <c r="BF69" s="130" t="e">
        <f t="shared" si="38"/>
        <v>#VALUE!</v>
      </c>
      <c r="BG69" s="143" t="str">
        <f t="shared" si="57"/>
        <v>0.03*qc;n</v>
      </c>
      <c r="BH69" s="133" t="e">
        <f t="shared" si="39"/>
        <v>#VALUE!</v>
      </c>
      <c r="BI69" s="134" t="e">
        <f t="shared" si="40"/>
        <v>#VALUE!</v>
      </c>
      <c r="BJ69" s="125">
        <f t="shared" si="154"/>
        <v>103</v>
      </c>
      <c r="BK69" s="124">
        <f t="shared" si="154"/>
        <v>103</v>
      </c>
      <c r="BL69" s="130">
        <f t="shared" si="58"/>
        <v>4.6347289882296359</v>
      </c>
      <c r="BM69" s="131">
        <f t="shared" si="59"/>
        <v>0</v>
      </c>
      <c r="BN69" s="130">
        <f t="shared" si="42"/>
        <v>103.00000000000001</v>
      </c>
      <c r="BO69" s="133">
        <f t="shared" si="43"/>
        <v>103.00000000000001</v>
      </c>
      <c r="BP69" s="133">
        <f t="shared" si="44"/>
        <v>0</v>
      </c>
      <c r="BQ69" s="134">
        <f t="shared" si="60"/>
        <v>0</v>
      </c>
    </row>
    <row r="70" spans="1:69" x14ac:dyDescent="0.25">
      <c r="A70" t="s">
        <v>181</v>
      </c>
      <c r="B70" t="s">
        <v>377</v>
      </c>
      <c r="E70" s="152" t="str">
        <f>VLOOKUP(A70,Kleurtabel!$A$2:$F$822,6,FALSE)</f>
        <v>#80FF0000</v>
      </c>
      <c r="F70" s="125">
        <f t="shared" si="152"/>
        <v>17</v>
      </c>
      <c r="G70" s="124">
        <f t="shared" si="152"/>
        <v>18</v>
      </c>
      <c r="H70" s="130">
        <f t="shared" si="45"/>
        <v>2.8617925509761903</v>
      </c>
      <c r="I70" s="131">
        <f t="shared" si="46"/>
        <v>1.7373378066853601E-2</v>
      </c>
      <c r="J70" s="130">
        <f t="shared" si="1"/>
        <v>17.4928556845359</v>
      </c>
      <c r="K70" s="133">
        <f t="shared" si="120"/>
        <v>17.495495855377509</v>
      </c>
      <c r="L70" s="133">
        <f t="shared" si="121"/>
        <v>0.30397880147861883</v>
      </c>
      <c r="M70" s="134">
        <f t="shared" si="47"/>
        <v>1.7374689119496221E-2</v>
      </c>
      <c r="N70" s="125">
        <f t="shared" si="153"/>
        <v>19</v>
      </c>
      <c r="O70" s="124">
        <f t="shared" si="153"/>
        <v>20</v>
      </c>
      <c r="P70" s="130">
        <f t="shared" si="48"/>
        <v>2.9700856263602153</v>
      </c>
      <c r="Q70" s="131">
        <f t="shared" si="49"/>
        <v>1.5590666987097445E-2</v>
      </c>
      <c r="R70" s="132">
        <f t="shared" si="50"/>
        <v>19.493588689617919</v>
      </c>
      <c r="S70" s="132">
        <f t="shared" si="122"/>
        <v>19.495957976141646</v>
      </c>
      <c r="T70" s="133">
        <f t="shared" si="123"/>
        <v>0.30397345983682589</v>
      </c>
      <c r="U70" s="134">
        <f t="shared" si="51"/>
        <v>1.5591614436634309E-2</v>
      </c>
      <c r="V70" s="155">
        <f t="shared" si="124"/>
        <v>30.95</v>
      </c>
      <c r="W70" s="140">
        <f t="shared" si="52"/>
        <v>33.072180669348825</v>
      </c>
      <c r="X70" s="130">
        <f t="shared" si="125"/>
        <v>3.4655327324823864</v>
      </c>
      <c r="Y70" s="131">
        <f t="shared" si="126"/>
        <v>2.015789261506451E-2</v>
      </c>
      <c r="Z70" s="130">
        <f t="shared" si="127"/>
        <v>31.993499210251233</v>
      </c>
      <c r="AA70" s="128">
        <f t="shared" si="128"/>
        <v>32</v>
      </c>
      <c r="AB70" s="133">
        <f t="shared" si="129"/>
        <v>0.64511809699671463</v>
      </c>
      <c r="AC70" s="134">
        <f t="shared" si="130"/>
        <v>2.0159940531147332E-2</v>
      </c>
      <c r="AD70" s="125" t="str">
        <f t="shared" si="131"/>
        <v>-</v>
      </c>
      <c r="AE70" s="140" t="str">
        <f t="shared" si="53"/>
        <v>-</v>
      </c>
      <c r="AF70" s="130" t="str">
        <f t="shared" si="132"/>
        <v>-</v>
      </c>
      <c r="AG70" s="131" t="str">
        <f t="shared" si="133"/>
        <v>-</v>
      </c>
      <c r="AH70" s="130" t="str">
        <f t="shared" si="134"/>
        <v>-</v>
      </c>
      <c r="AI70" s="128" t="str">
        <f t="shared" si="135"/>
        <v>-</v>
      </c>
      <c r="AJ70" s="133" t="str">
        <f t="shared" si="136"/>
        <v>-</v>
      </c>
      <c r="AK70" s="134" t="str">
        <f t="shared" si="137"/>
        <v>-</v>
      </c>
      <c r="AL70" s="125" t="str">
        <f t="shared" si="138"/>
        <v>-</v>
      </c>
      <c r="AM70" s="140" t="str">
        <f t="shared" si="54"/>
        <v>-</v>
      </c>
      <c r="AN70" s="130" t="str">
        <f t="shared" si="139"/>
        <v>-</v>
      </c>
      <c r="AO70" s="131" t="str">
        <f t="shared" si="140"/>
        <v>-</v>
      </c>
      <c r="AP70" s="130" t="str">
        <f t="shared" si="141"/>
        <v>-</v>
      </c>
      <c r="AQ70" s="128" t="str">
        <f t="shared" si="142"/>
        <v>-</v>
      </c>
      <c r="AR70" s="133" t="str">
        <f t="shared" si="143"/>
        <v>-</v>
      </c>
      <c r="AS70" s="134" t="str">
        <f t="shared" si="144"/>
        <v>-</v>
      </c>
      <c r="AT70" s="125" t="str">
        <f t="shared" si="145"/>
        <v>-</v>
      </c>
      <c r="AU70" s="140" t="str">
        <f t="shared" si="55"/>
        <v>-</v>
      </c>
      <c r="AV70" s="130" t="str">
        <f t="shared" si="146"/>
        <v>-</v>
      </c>
      <c r="AW70" s="131" t="str">
        <f t="shared" si="147"/>
        <v>-</v>
      </c>
      <c r="AX70" s="130" t="str">
        <f t="shared" si="148"/>
        <v>-</v>
      </c>
      <c r="AY70" s="128" t="str">
        <f t="shared" si="149"/>
        <v>-</v>
      </c>
      <c r="AZ70" s="133" t="str">
        <f t="shared" si="150"/>
        <v>-</v>
      </c>
      <c r="BA70" s="134" t="str">
        <f t="shared" si="151"/>
        <v>-</v>
      </c>
      <c r="BB70" s="125" t="str">
        <f t="shared" si="35"/>
        <v>-</v>
      </c>
      <c r="BC70" s="140" t="str">
        <f t="shared" si="56"/>
        <v>-</v>
      </c>
      <c r="BD70" s="130" t="str">
        <f t="shared" si="36"/>
        <v>-</v>
      </c>
      <c r="BE70" s="131" t="str">
        <f t="shared" si="37"/>
        <v>-</v>
      </c>
      <c r="BF70" s="130" t="str">
        <f t="shared" si="38"/>
        <v>-</v>
      </c>
      <c r="BG70" s="143" t="str">
        <f t="shared" si="57"/>
        <v>-</v>
      </c>
      <c r="BH70" s="133" t="str">
        <f t="shared" si="39"/>
        <v>-</v>
      </c>
      <c r="BI70" s="134" t="str">
        <f t="shared" si="40"/>
        <v>-</v>
      </c>
      <c r="BJ70" s="125">
        <f t="shared" si="154"/>
        <v>103</v>
      </c>
      <c r="BK70" s="124">
        <f t="shared" si="154"/>
        <v>103</v>
      </c>
      <c r="BL70" s="130">
        <f t="shared" si="58"/>
        <v>4.6347289882296359</v>
      </c>
      <c r="BM70" s="131">
        <f t="shared" si="59"/>
        <v>0</v>
      </c>
      <c r="BN70" s="130">
        <f t="shared" si="42"/>
        <v>103.00000000000001</v>
      </c>
      <c r="BO70" s="133">
        <f t="shared" si="43"/>
        <v>103.00000000000001</v>
      </c>
      <c r="BP70" s="133">
        <f t="shared" si="44"/>
        <v>0</v>
      </c>
      <c r="BQ70" s="134">
        <f t="shared" si="60"/>
        <v>0</v>
      </c>
    </row>
    <row r="71" spans="1:69" x14ac:dyDescent="0.25">
      <c r="A71" t="s">
        <v>183</v>
      </c>
      <c r="B71" t="s">
        <v>377</v>
      </c>
      <c r="E71" s="152" t="str">
        <f>VLOOKUP(A71,Kleurtabel!$A$2:$F$822,6,FALSE)</f>
        <v>#80A6A6A6</v>
      </c>
      <c r="F71" s="125">
        <f t="shared" si="152"/>
        <v>18</v>
      </c>
      <c r="G71" s="124">
        <f t="shared" si="152"/>
        <v>19</v>
      </c>
      <c r="H71" s="130">
        <f t="shared" si="45"/>
        <v>2.9174053685313024</v>
      </c>
      <c r="I71" s="131">
        <f t="shared" si="46"/>
        <v>1.6433805857226671E-2</v>
      </c>
      <c r="J71" s="130">
        <f t="shared" si="1"/>
        <v>18.493242008906925</v>
      </c>
      <c r="K71" s="133">
        <f t="shared" si="120"/>
        <v>18.495739412224619</v>
      </c>
      <c r="L71" s="133">
        <f t="shared" si="121"/>
        <v>0.30397591414727615</v>
      </c>
      <c r="M71" s="134">
        <f t="shared" si="47"/>
        <v>1.6434915489043144E-2</v>
      </c>
      <c r="N71" s="125">
        <f t="shared" si="153"/>
        <v>20</v>
      </c>
      <c r="O71" s="124">
        <f t="shared" si="153"/>
        <v>21</v>
      </c>
      <c r="P71" s="130">
        <f t="shared" si="48"/>
        <v>3.0201273556387069</v>
      </c>
      <c r="Q71" s="131">
        <f t="shared" si="49"/>
        <v>1.4829837133566006E-2</v>
      </c>
      <c r="R71" s="132">
        <f t="shared" si="50"/>
        <v>20.493901531919196</v>
      </c>
      <c r="S71" s="132">
        <f t="shared" si="122"/>
        <v>20.496155206937743</v>
      </c>
      <c r="T71" s="133">
        <f t="shared" si="123"/>
        <v>0.30397135608439629</v>
      </c>
      <c r="U71" s="134">
        <f t="shared" si="51"/>
        <v>1.4830652530456298E-2</v>
      </c>
      <c r="V71" s="155">
        <f t="shared" si="124"/>
        <v>30.95</v>
      </c>
      <c r="W71" s="140">
        <f t="shared" si="52"/>
        <v>33.072180669348825</v>
      </c>
      <c r="X71" s="130">
        <f t="shared" si="125"/>
        <v>3.4655327324823864</v>
      </c>
      <c r="Y71" s="131">
        <f t="shared" si="126"/>
        <v>2.015789261506451E-2</v>
      </c>
      <c r="Z71" s="130">
        <f t="shared" si="127"/>
        <v>31.993499210251233</v>
      </c>
      <c r="AA71" s="128">
        <f t="shared" si="128"/>
        <v>32</v>
      </c>
      <c r="AB71" s="133">
        <f t="shared" si="129"/>
        <v>0.64511809699671463</v>
      </c>
      <c r="AC71" s="134">
        <f t="shared" si="130"/>
        <v>2.0159940531147332E-2</v>
      </c>
      <c r="AD71" s="125" t="str">
        <f t="shared" si="131"/>
        <v>-</v>
      </c>
      <c r="AE71" s="140" t="str">
        <f t="shared" si="53"/>
        <v>-</v>
      </c>
      <c r="AF71" s="130" t="str">
        <f t="shared" si="132"/>
        <v>-</v>
      </c>
      <c r="AG71" s="131" t="str">
        <f t="shared" si="133"/>
        <v>-</v>
      </c>
      <c r="AH71" s="130" t="str">
        <f t="shared" si="134"/>
        <v>-</v>
      </c>
      <c r="AI71" s="128" t="str">
        <f t="shared" si="135"/>
        <v>-</v>
      </c>
      <c r="AJ71" s="133" t="str">
        <f t="shared" si="136"/>
        <v>-</v>
      </c>
      <c r="AK71" s="134" t="str">
        <f t="shared" si="137"/>
        <v>-</v>
      </c>
      <c r="AL71" s="125" t="str">
        <f t="shared" si="138"/>
        <v>-</v>
      </c>
      <c r="AM71" s="140" t="str">
        <f t="shared" si="54"/>
        <v>-</v>
      </c>
      <c r="AN71" s="130" t="str">
        <f t="shared" si="139"/>
        <v>-</v>
      </c>
      <c r="AO71" s="131" t="str">
        <f t="shared" si="140"/>
        <v>-</v>
      </c>
      <c r="AP71" s="130" t="str">
        <f t="shared" si="141"/>
        <v>-</v>
      </c>
      <c r="AQ71" s="128" t="str">
        <f t="shared" si="142"/>
        <v>-</v>
      </c>
      <c r="AR71" s="133" t="str">
        <f t="shared" si="143"/>
        <v>-</v>
      </c>
      <c r="AS71" s="134" t="str">
        <f t="shared" si="144"/>
        <v>-</v>
      </c>
      <c r="AT71" s="125" t="str">
        <f t="shared" si="145"/>
        <v>-</v>
      </c>
      <c r="AU71" s="140" t="str">
        <f t="shared" si="55"/>
        <v>-</v>
      </c>
      <c r="AV71" s="130" t="str">
        <f t="shared" si="146"/>
        <v>-</v>
      </c>
      <c r="AW71" s="131" t="str">
        <f t="shared" si="147"/>
        <v>-</v>
      </c>
      <c r="AX71" s="130" t="str">
        <f t="shared" si="148"/>
        <v>-</v>
      </c>
      <c r="AY71" s="128" t="str">
        <f t="shared" si="149"/>
        <v>-</v>
      </c>
      <c r="AZ71" s="133" t="str">
        <f t="shared" si="150"/>
        <v>-</v>
      </c>
      <c r="BA71" s="134" t="str">
        <f t="shared" si="151"/>
        <v>-</v>
      </c>
      <c r="BB71" s="125" t="str">
        <f t="shared" si="35"/>
        <v>-</v>
      </c>
      <c r="BC71" s="140" t="str">
        <f t="shared" si="56"/>
        <v>-</v>
      </c>
      <c r="BD71" s="130" t="str">
        <f t="shared" si="36"/>
        <v>-</v>
      </c>
      <c r="BE71" s="131" t="str">
        <f t="shared" si="37"/>
        <v>-</v>
      </c>
      <c r="BF71" s="130" t="str">
        <f t="shared" si="38"/>
        <v>-</v>
      </c>
      <c r="BG71" s="143" t="str">
        <f t="shared" si="57"/>
        <v>-</v>
      </c>
      <c r="BH71" s="133" t="str">
        <f t="shared" si="39"/>
        <v>-</v>
      </c>
      <c r="BI71" s="134" t="str">
        <f t="shared" si="40"/>
        <v>-</v>
      </c>
      <c r="BJ71" s="125">
        <f t="shared" si="154"/>
        <v>103</v>
      </c>
      <c r="BK71" s="124">
        <f t="shared" si="154"/>
        <v>103</v>
      </c>
      <c r="BL71" s="130">
        <f t="shared" si="58"/>
        <v>4.6347289882296359</v>
      </c>
      <c r="BM71" s="131">
        <f t="shared" si="59"/>
        <v>0</v>
      </c>
      <c r="BN71" s="130">
        <f t="shared" si="42"/>
        <v>103.00000000000001</v>
      </c>
      <c r="BO71" s="133">
        <f t="shared" si="43"/>
        <v>103.00000000000001</v>
      </c>
      <c r="BP71" s="133">
        <f t="shared" si="44"/>
        <v>0</v>
      </c>
      <c r="BQ71" s="134">
        <f t="shared" si="60"/>
        <v>0</v>
      </c>
    </row>
    <row r="72" spans="1:69" x14ac:dyDescent="0.25">
      <c r="A72" t="s">
        <v>185</v>
      </c>
      <c r="B72" s="123" t="s">
        <v>376</v>
      </c>
      <c r="E72" s="152" t="str">
        <f>VLOOKUP(A72,Kleurtabel!$A$2:$F$822,6,FALSE)</f>
        <v>#80A6A6A6</v>
      </c>
      <c r="F72" s="125">
        <f t="shared" si="152"/>
        <v>17</v>
      </c>
      <c r="G72" s="124">
        <f t="shared" si="152"/>
        <v>19</v>
      </c>
      <c r="H72" s="130">
        <f t="shared" si="45"/>
        <v>2.8888261616113282</v>
      </c>
      <c r="I72" s="131">
        <f t="shared" si="46"/>
        <v>3.3807183924080275E-2</v>
      </c>
      <c r="J72" s="130">
        <f t="shared" si="1"/>
        <v>17.972200755611428</v>
      </c>
      <c r="K72" s="133">
        <f t="shared" si="120"/>
        <v>17.982474135688012</v>
      </c>
      <c r="L72" s="133">
        <f t="shared" si="121"/>
        <v>0.60811055853240203</v>
      </c>
      <c r="M72" s="134">
        <f t="shared" si="47"/>
        <v>3.3816845999269145E-2</v>
      </c>
      <c r="N72" s="125">
        <f t="shared" si="153"/>
        <v>17</v>
      </c>
      <c r="O72" s="124">
        <f t="shared" si="153"/>
        <v>19</v>
      </c>
      <c r="P72" s="130">
        <f t="shared" si="48"/>
        <v>2.8888261616113282</v>
      </c>
      <c r="Q72" s="131">
        <f t="shared" si="49"/>
        <v>3.3807183924080275E-2</v>
      </c>
      <c r="R72" s="132">
        <f t="shared" si="50"/>
        <v>17.972200755611428</v>
      </c>
      <c r="S72" s="132">
        <f t="shared" si="122"/>
        <v>17.982474135688012</v>
      </c>
      <c r="T72" s="133">
        <f t="shared" si="123"/>
        <v>0.60811055853240203</v>
      </c>
      <c r="U72" s="134">
        <f t="shared" si="51"/>
        <v>3.3816845999269145E-2</v>
      </c>
      <c r="V72" s="155">
        <f t="shared" si="124"/>
        <v>30.95</v>
      </c>
      <c r="W72" s="140">
        <f t="shared" si="52"/>
        <v>33.072180669348825</v>
      </c>
      <c r="X72" s="130">
        <f t="shared" si="125"/>
        <v>3.4655327324823864</v>
      </c>
      <c r="Y72" s="131">
        <f t="shared" si="126"/>
        <v>2.015789261506451E-2</v>
      </c>
      <c r="Z72" s="130">
        <f t="shared" si="127"/>
        <v>31.993499210251233</v>
      </c>
      <c r="AA72" s="128">
        <f t="shared" si="128"/>
        <v>32</v>
      </c>
      <c r="AB72" s="133">
        <f t="shared" si="129"/>
        <v>0.64511809699671463</v>
      </c>
      <c r="AC72" s="134">
        <f t="shared" si="130"/>
        <v>2.0159940531147332E-2</v>
      </c>
      <c r="AD72" s="125">
        <f t="shared" si="131"/>
        <v>0.28100000000000003</v>
      </c>
      <c r="AE72" s="140">
        <f t="shared" si="53"/>
        <v>0.29917961173681679</v>
      </c>
      <c r="AF72" s="130">
        <f t="shared" si="132"/>
        <v>-1.2380558937214354</v>
      </c>
      <c r="AG72" s="131">
        <f t="shared" si="133"/>
        <v>1.9054538557419898E-2</v>
      </c>
      <c r="AH72" s="130">
        <f t="shared" si="134"/>
        <v>0.28994735883957545</v>
      </c>
      <c r="AI72" s="128">
        <f t="shared" si="135"/>
        <v>0.28999999999999998</v>
      </c>
      <c r="AJ72" s="133">
        <f t="shared" si="136"/>
        <v>5.52631779162778E-3</v>
      </c>
      <c r="AK72" s="134">
        <f t="shared" si="137"/>
        <v>1.9056268246992348E-2</v>
      </c>
      <c r="AL72" s="125">
        <f t="shared" si="138"/>
        <v>0.89200000000000002</v>
      </c>
      <c r="AM72" s="140">
        <f t="shared" si="54"/>
        <v>0.90804508506493276</v>
      </c>
      <c r="AN72" s="130">
        <f t="shared" si="139"/>
        <v>-0.10537519743021823</v>
      </c>
      <c r="AO72" s="131">
        <f t="shared" si="140"/>
        <v>5.4188139646866862E-3</v>
      </c>
      <c r="AP72" s="130">
        <f t="shared" si="141"/>
        <v>0.89998678650184627</v>
      </c>
      <c r="AQ72" s="128">
        <f t="shared" si="142"/>
        <v>0.9</v>
      </c>
      <c r="AR72" s="133">
        <f t="shared" si="143"/>
        <v>4.8769683694481559E-3</v>
      </c>
      <c r="AS72" s="134">
        <f t="shared" si="144"/>
        <v>5.4188537438312843E-3</v>
      </c>
      <c r="AT72" s="125">
        <f t="shared" si="145"/>
        <v>11.57</v>
      </c>
      <c r="AU72" s="140">
        <f t="shared" si="55"/>
        <v>36.715039080961702</v>
      </c>
      <c r="AV72" s="130">
        <f t="shared" si="146"/>
        <v>3.0258009982749376</v>
      </c>
      <c r="AW72" s="131">
        <f t="shared" si="147"/>
        <v>0.35099419882635408</v>
      </c>
      <c r="AX72" s="130">
        <f t="shared" si="148"/>
        <v>20.610507081746601</v>
      </c>
      <c r="AY72" s="128">
        <f t="shared" si="149"/>
        <v>21.92</v>
      </c>
      <c r="AZ72" s="133">
        <f t="shared" si="150"/>
        <v>7.9369515704755926</v>
      </c>
      <c r="BA72" s="134">
        <f t="shared" si="151"/>
        <v>0.36208720668228067</v>
      </c>
      <c r="BB72" s="125">
        <f t="shared" si="35"/>
        <v>6</v>
      </c>
      <c r="BC72" s="140">
        <f t="shared" si="56"/>
        <v>6</v>
      </c>
      <c r="BD72" s="130">
        <f t="shared" si="36"/>
        <v>1.791759469228055</v>
      </c>
      <c r="BE72" s="131">
        <f t="shared" si="37"/>
        <v>0</v>
      </c>
      <c r="BF72" s="130">
        <f t="shared" si="38"/>
        <v>6</v>
      </c>
      <c r="BG72" s="143">
        <f t="shared" si="57"/>
        <v>6</v>
      </c>
      <c r="BH72" s="133">
        <f t="shared" si="39"/>
        <v>0</v>
      </c>
      <c r="BI72" s="134">
        <f t="shared" si="40"/>
        <v>0</v>
      </c>
      <c r="BJ72" s="125">
        <f t="shared" si="154"/>
        <v>103</v>
      </c>
      <c r="BK72" s="124">
        <f t="shared" si="154"/>
        <v>103</v>
      </c>
      <c r="BL72" s="130">
        <f t="shared" si="58"/>
        <v>4.6347289882296359</v>
      </c>
      <c r="BM72" s="131">
        <f t="shared" si="59"/>
        <v>0</v>
      </c>
      <c r="BN72" s="130">
        <f t="shared" si="42"/>
        <v>103.00000000000001</v>
      </c>
      <c r="BO72" s="133">
        <f t="shared" si="43"/>
        <v>103.00000000000001</v>
      </c>
      <c r="BP72" s="133">
        <f t="shared" si="44"/>
        <v>0</v>
      </c>
      <c r="BQ72" s="134">
        <f t="shared" si="60"/>
        <v>0</v>
      </c>
    </row>
    <row r="73" spans="1:69" x14ac:dyDescent="0.25">
      <c r="A73" t="s">
        <v>187</v>
      </c>
      <c r="B73" t="s">
        <v>376</v>
      </c>
      <c r="E73" s="152" t="str">
        <f>VLOOKUP(A73,Kleurtabel!$A$2:$F$822,6,FALSE)</f>
        <v>#80FF00FF</v>
      </c>
      <c r="F73" s="125">
        <f t="shared" si="152"/>
        <v>18</v>
      </c>
      <c r="G73" s="124">
        <f t="shared" si="152"/>
        <v>20</v>
      </c>
      <c r="H73" s="130">
        <f t="shared" si="45"/>
        <v>2.9430520157250779</v>
      </c>
      <c r="I73" s="131">
        <f t="shared" si="46"/>
        <v>3.2024472844324116E-2</v>
      </c>
      <c r="J73" s="130">
        <f t="shared" si="1"/>
        <v>18.973665961010276</v>
      </c>
      <c r="K73" s="133">
        <f t="shared" si="120"/>
        <v>18.983397837489768</v>
      </c>
      <c r="L73" s="133">
        <f t="shared" si="121"/>
        <v>0.60808921091150459</v>
      </c>
      <c r="M73" s="134">
        <f t="shared" si="47"/>
        <v>3.2032685408436554E-2</v>
      </c>
      <c r="N73" s="125">
        <f t="shared" si="153"/>
        <v>18</v>
      </c>
      <c r="O73" s="124">
        <f t="shared" si="153"/>
        <v>20</v>
      </c>
      <c r="P73" s="130">
        <f t="shared" si="48"/>
        <v>2.9430520157250779</v>
      </c>
      <c r="Q73" s="131">
        <f t="shared" si="49"/>
        <v>3.2024472844324116E-2</v>
      </c>
      <c r="R73" s="132">
        <f t="shared" si="50"/>
        <v>18.973665961010276</v>
      </c>
      <c r="S73" s="132">
        <f t="shared" si="122"/>
        <v>18.983397837489768</v>
      </c>
      <c r="T73" s="133">
        <f t="shared" si="123"/>
        <v>0.60808921091150459</v>
      </c>
      <c r="U73" s="134">
        <f t="shared" si="51"/>
        <v>3.2032685408436554E-2</v>
      </c>
      <c r="V73" s="155">
        <f t="shared" si="124"/>
        <v>30.95</v>
      </c>
      <c r="W73" s="140">
        <f t="shared" si="52"/>
        <v>33.072180669348825</v>
      </c>
      <c r="X73" s="130">
        <f t="shared" si="125"/>
        <v>3.4655327324823864</v>
      </c>
      <c r="Y73" s="131">
        <f t="shared" si="126"/>
        <v>2.015789261506451E-2</v>
      </c>
      <c r="Z73" s="130">
        <f t="shared" si="127"/>
        <v>31.993499210251233</v>
      </c>
      <c r="AA73" s="128">
        <f t="shared" si="128"/>
        <v>32</v>
      </c>
      <c r="AB73" s="133">
        <f t="shared" si="129"/>
        <v>0.64511809699671463</v>
      </c>
      <c r="AC73" s="134">
        <f t="shared" si="130"/>
        <v>2.0159940531147332E-2</v>
      </c>
      <c r="AD73" s="125" t="str">
        <f t="shared" si="131"/>
        <v>-</v>
      </c>
      <c r="AE73" s="140" t="str">
        <f t="shared" si="53"/>
        <v>-</v>
      </c>
      <c r="AF73" s="130" t="str">
        <f t="shared" si="132"/>
        <v>-</v>
      </c>
      <c r="AG73" s="131" t="str">
        <f t="shared" si="133"/>
        <v>-</v>
      </c>
      <c r="AH73" s="130" t="str">
        <f t="shared" si="134"/>
        <v>-</v>
      </c>
      <c r="AI73" s="128" t="str">
        <f t="shared" si="135"/>
        <v>-</v>
      </c>
      <c r="AJ73" s="133" t="str">
        <f t="shared" si="136"/>
        <v>-</v>
      </c>
      <c r="AK73" s="134" t="str">
        <f t="shared" si="137"/>
        <v>-</v>
      </c>
      <c r="AL73" s="125" t="str">
        <f t="shared" si="138"/>
        <v>-</v>
      </c>
      <c r="AM73" s="140" t="str">
        <f t="shared" si="54"/>
        <v>-</v>
      </c>
      <c r="AN73" s="130" t="str">
        <f t="shared" si="139"/>
        <v>-</v>
      </c>
      <c r="AO73" s="131" t="str">
        <f t="shared" si="140"/>
        <v>-</v>
      </c>
      <c r="AP73" s="130" t="str">
        <f t="shared" si="141"/>
        <v>-</v>
      </c>
      <c r="AQ73" s="128" t="str">
        <f t="shared" si="142"/>
        <v>-</v>
      </c>
      <c r="AR73" s="133" t="str">
        <f t="shared" si="143"/>
        <v>-</v>
      </c>
      <c r="AS73" s="134" t="str">
        <f t="shared" si="144"/>
        <v>-</v>
      </c>
      <c r="AT73" s="125" t="str">
        <f t="shared" si="145"/>
        <v>-</v>
      </c>
      <c r="AU73" s="140" t="str">
        <f t="shared" si="55"/>
        <v>-</v>
      </c>
      <c r="AV73" s="130" t="str">
        <f t="shared" si="146"/>
        <v>-</v>
      </c>
      <c r="AW73" s="131" t="str">
        <f t="shared" si="147"/>
        <v>-</v>
      </c>
      <c r="AX73" s="130" t="str">
        <f t="shared" si="148"/>
        <v>-</v>
      </c>
      <c r="AY73" s="128" t="str">
        <f t="shared" si="149"/>
        <v>-</v>
      </c>
      <c r="AZ73" s="133" t="str">
        <f t="shared" si="150"/>
        <v>-</v>
      </c>
      <c r="BA73" s="134" t="str">
        <f t="shared" si="151"/>
        <v>-</v>
      </c>
      <c r="BB73" s="125" t="str">
        <f t="shared" si="35"/>
        <v>0.03*q_c;N</v>
      </c>
      <c r="BC73" s="140" t="e">
        <f t="shared" si="56"/>
        <v>#VALUE!</v>
      </c>
      <c r="BD73" s="130" t="e">
        <f t="shared" si="36"/>
        <v>#VALUE!</v>
      </c>
      <c r="BE73" s="131" t="e">
        <f t="shared" si="37"/>
        <v>#VALUE!</v>
      </c>
      <c r="BF73" s="130" t="e">
        <f t="shared" si="38"/>
        <v>#VALUE!</v>
      </c>
      <c r="BG73" s="143" t="str">
        <f t="shared" si="57"/>
        <v>0.03*q_c;N</v>
      </c>
      <c r="BH73" s="133" t="e">
        <f t="shared" si="39"/>
        <v>#VALUE!</v>
      </c>
      <c r="BI73" s="134" t="e">
        <f t="shared" si="40"/>
        <v>#VALUE!</v>
      </c>
      <c r="BJ73" s="125">
        <f t="shared" si="154"/>
        <v>103</v>
      </c>
      <c r="BK73" s="124">
        <f t="shared" si="154"/>
        <v>103</v>
      </c>
      <c r="BL73" s="130">
        <f t="shared" si="58"/>
        <v>4.6347289882296359</v>
      </c>
      <c r="BM73" s="131">
        <f t="shared" si="59"/>
        <v>0</v>
      </c>
      <c r="BN73" s="130">
        <f t="shared" si="42"/>
        <v>103.00000000000001</v>
      </c>
      <c r="BO73" s="133">
        <f t="shared" si="43"/>
        <v>103.00000000000001</v>
      </c>
      <c r="BP73" s="133">
        <f t="shared" si="44"/>
        <v>0</v>
      </c>
      <c r="BQ73" s="134">
        <f t="shared" si="60"/>
        <v>0</v>
      </c>
    </row>
    <row r="74" spans="1:69" x14ac:dyDescent="0.25">
      <c r="A74" t="s">
        <v>191</v>
      </c>
      <c r="B74" t="s">
        <v>376</v>
      </c>
      <c r="E74" s="152" t="str">
        <f>VLOOKUP(A74,Kleurtabel!$A$2:$F$822,6,FALSE)</f>
        <v>#00000000</v>
      </c>
      <c r="F74" s="125">
        <f t="shared" si="152"/>
        <v>18</v>
      </c>
      <c r="G74" s="124">
        <f t="shared" si="152"/>
        <v>19</v>
      </c>
      <c r="H74" s="130">
        <f t="shared" si="45"/>
        <v>2.9174053685313024</v>
      </c>
      <c r="I74" s="131">
        <f t="shared" si="46"/>
        <v>1.6433805857226671E-2</v>
      </c>
      <c r="J74" s="130">
        <f t="shared" si="1"/>
        <v>18.493242008906925</v>
      </c>
      <c r="K74" s="133">
        <f t="shared" si="120"/>
        <v>18.495739412224619</v>
      </c>
      <c r="L74" s="133">
        <f t="shared" si="121"/>
        <v>0.30397591414727615</v>
      </c>
      <c r="M74" s="134">
        <f t="shared" si="47"/>
        <v>1.6434915489043144E-2</v>
      </c>
      <c r="N74" s="125">
        <f t="shared" si="153"/>
        <v>20</v>
      </c>
      <c r="O74" s="124">
        <f t="shared" si="153"/>
        <v>21</v>
      </c>
      <c r="P74" s="130">
        <f t="shared" si="48"/>
        <v>3.0201273556387069</v>
      </c>
      <c r="Q74" s="131">
        <f t="shared" si="49"/>
        <v>1.4829837133566006E-2</v>
      </c>
      <c r="R74" s="132">
        <f t="shared" si="50"/>
        <v>20.493901531919196</v>
      </c>
      <c r="S74" s="132">
        <f t="shared" si="122"/>
        <v>20.496155206937743</v>
      </c>
      <c r="T74" s="133">
        <f t="shared" si="123"/>
        <v>0.30397135608439629</v>
      </c>
      <c r="U74" s="134">
        <f t="shared" si="51"/>
        <v>1.4830652530456298E-2</v>
      </c>
      <c r="V74" s="155">
        <f t="shared" si="124"/>
        <v>30.95</v>
      </c>
      <c r="W74" s="140">
        <f t="shared" si="52"/>
        <v>33.072180669348825</v>
      </c>
      <c r="X74" s="130">
        <f t="shared" si="125"/>
        <v>3.4655327324823864</v>
      </c>
      <c r="Y74" s="131">
        <f t="shared" si="126"/>
        <v>2.015789261506451E-2</v>
      </c>
      <c r="Z74" s="130">
        <f t="shared" si="127"/>
        <v>31.993499210251233</v>
      </c>
      <c r="AA74" s="128">
        <f t="shared" si="128"/>
        <v>32</v>
      </c>
      <c r="AB74" s="133">
        <f t="shared" si="129"/>
        <v>0.64511809699671463</v>
      </c>
      <c r="AC74" s="134">
        <f t="shared" si="130"/>
        <v>2.0159940531147332E-2</v>
      </c>
      <c r="AD74" s="125" t="str">
        <f t="shared" si="131"/>
        <v>-</v>
      </c>
      <c r="AE74" s="140" t="str">
        <f t="shared" si="53"/>
        <v>-</v>
      </c>
      <c r="AF74" s="130" t="str">
        <f t="shared" si="132"/>
        <v>-</v>
      </c>
      <c r="AG74" s="131" t="str">
        <f t="shared" si="133"/>
        <v>-</v>
      </c>
      <c r="AH74" s="130" t="str">
        <f t="shared" si="134"/>
        <v>-</v>
      </c>
      <c r="AI74" s="128" t="str">
        <f t="shared" si="135"/>
        <v>-</v>
      </c>
      <c r="AJ74" s="133" t="str">
        <f t="shared" si="136"/>
        <v>-</v>
      </c>
      <c r="AK74" s="134" t="str">
        <f t="shared" si="137"/>
        <v>-</v>
      </c>
      <c r="AL74" s="125" t="str">
        <f t="shared" si="138"/>
        <v>-</v>
      </c>
      <c r="AM74" s="140" t="str">
        <f t="shared" si="54"/>
        <v>-</v>
      </c>
      <c r="AN74" s="130" t="str">
        <f t="shared" si="139"/>
        <v>-</v>
      </c>
      <c r="AO74" s="131" t="str">
        <f t="shared" si="140"/>
        <v>-</v>
      </c>
      <c r="AP74" s="130" t="str">
        <f t="shared" si="141"/>
        <v>-</v>
      </c>
      <c r="AQ74" s="128" t="str">
        <f t="shared" si="142"/>
        <v>-</v>
      </c>
      <c r="AR74" s="133" t="str">
        <f t="shared" si="143"/>
        <v>-</v>
      </c>
      <c r="AS74" s="134" t="str">
        <f t="shared" si="144"/>
        <v>-</v>
      </c>
      <c r="AT74" s="125" t="str">
        <f t="shared" si="145"/>
        <v>-</v>
      </c>
      <c r="AU74" s="140" t="str">
        <f t="shared" si="55"/>
        <v>-</v>
      </c>
      <c r="AV74" s="130" t="str">
        <f t="shared" si="146"/>
        <v>-</v>
      </c>
      <c r="AW74" s="131" t="str">
        <f t="shared" si="147"/>
        <v>-</v>
      </c>
      <c r="AX74" s="130" t="str">
        <f t="shared" si="148"/>
        <v>-</v>
      </c>
      <c r="AY74" s="128" t="str">
        <f t="shared" si="149"/>
        <v>-</v>
      </c>
      <c r="AZ74" s="133" t="str">
        <f t="shared" si="150"/>
        <v>-</v>
      </c>
      <c r="BA74" s="134" t="str">
        <f t="shared" si="151"/>
        <v>-</v>
      </c>
      <c r="BB74" s="125" t="str">
        <f t="shared" si="35"/>
        <v>-</v>
      </c>
      <c r="BC74" s="140" t="str">
        <f t="shared" si="56"/>
        <v>-</v>
      </c>
      <c r="BD74" s="130" t="str">
        <f t="shared" si="36"/>
        <v>-</v>
      </c>
      <c r="BE74" s="131" t="str">
        <f t="shared" si="37"/>
        <v>-</v>
      </c>
      <c r="BF74" s="130" t="str">
        <f t="shared" si="38"/>
        <v>-</v>
      </c>
      <c r="BG74" s="143" t="str">
        <f t="shared" si="57"/>
        <v>-</v>
      </c>
      <c r="BH74" s="133" t="str">
        <f t="shared" si="39"/>
        <v>-</v>
      </c>
      <c r="BI74" s="134" t="str">
        <f t="shared" si="40"/>
        <v>-</v>
      </c>
      <c r="BJ74" s="125">
        <f t="shared" si="154"/>
        <v>103</v>
      </c>
      <c r="BK74" s="124">
        <f t="shared" si="154"/>
        <v>103</v>
      </c>
      <c r="BL74" s="130">
        <f t="shared" si="58"/>
        <v>4.6347289882296359</v>
      </c>
      <c r="BM74" s="131">
        <f t="shared" si="59"/>
        <v>0</v>
      </c>
      <c r="BN74" s="130">
        <f t="shared" si="42"/>
        <v>103.00000000000001</v>
      </c>
      <c r="BO74" s="133">
        <f t="shared" si="43"/>
        <v>103.00000000000001</v>
      </c>
      <c r="BP74" s="133">
        <f t="shared" si="44"/>
        <v>0</v>
      </c>
      <c r="BQ74" s="134">
        <f t="shared" si="60"/>
        <v>0</v>
      </c>
    </row>
    <row r="75" spans="1:69" x14ac:dyDescent="0.25">
      <c r="A75" t="s">
        <v>194</v>
      </c>
      <c r="B75" t="s">
        <v>377</v>
      </c>
      <c r="E75" s="152" t="str">
        <f>VLOOKUP(A75,Kleurtabel!$A$2:$F$822,6,FALSE)</f>
        <v>#80FFA897</v>
      </c>
      <c r="F75" s="125">
        <f t="shared" si="152"/>
        <v>18</v>
      </c>
      <c r="G75" s="124">
        <f t="shared" si="152"/>
        <v>19</v>
      </c>
      <c r="H75" s="130">
        <f t="shared" si="45"/>
        <v>2.9174053685313024</v>
      </c>
      <c r="I75" s="131">
        <f t="shared" si="46"/>
        <v>1.6433805857226671E-2</v>
      </c>
      <c r="J75" s="130">
        <f t="shared" si="1"/>
        <v>18.493242008906925</v>
      </c>
      <c r="K75" s="133">
        <f t="shared" si="120"/>
        <v>18.495739412224619</v>
      </c>
      <c r="L75" s="133">
        <f t="shared" si="121"/>
        <v>0.30397591414727615</v>
      </c>
      <c r="M75" s="134">
        <f t="shared" si="47"/>
        <v>1.6434915489043144E-2</v>
      </c>
      <c r="N75" s="125">
        <f t="shared" si="153"/>
        <v>20</v>
      </c>
      <c r="O75" s="124">
        <f t="shared" si="153"/>
        <v>21</v>
      </c>
      <c r="P75" s="130">
        <f t="shared" si="48"/>
        <v>3.0201273556387069</v>
      </c>
      <c r="Q75" s="131">
        <f t="shared" si="49"/>
        <v>1.4829837133566006E-2</v>
      </c>
      <c r="R75" s="132">
        <f t="shared" si="50"/>
        <v>20.493901531919196</v>
      </c>
      <c r="S75" s="132">
        <f t="shared" si="122"/>
        <v>20.496155206937743</v>
      </c>
      <c r="T75" s="133">
        <f t="shared" si="123"/>
        <v>0.30397135608439629</v>
      </c>
      <c r="U75" s="134">
        <f t="shared" si="51"/>
        <v>1.4830652530456298E-2</v>
      </c>
      <c r="V75" s="155">
        <f t="shared" si="124"/>
        <v>30.95</v>
      </c>
      <c r="W75" s="140">
        <f t="shared" si="52"/>
        <v>33.072180669348825</v>
      </c>
      <c r="X75" s="130">
        <f t="shared" si="125"/>
        <v>3.4655327324823864</v>
      </c>
      <c r="Y75" s="131">
        <f t="shared" si="126"/>
        <v>2.015789261506451E-2</v>
      </c>
      <c r="Z75" s="130">
        <f t="shared" si="127"/>
        <v>31.993499210251233</v>
      </c>
      <c r="AA75" s="128">
        <f t="shared" si="128"/>
        <v>32</v>
      </c>
      <c r="AB75" s="133">
        <f t="shared" si="129"/>
        <v>0.64511809699671463</v>
      </c>
      <c r="AC75" s="134">
        <f t="shared" si="130"/>
        <v>2.0159940531147332E-2</v>
      </c>
      <c r="AD75" s="125" t="str">
        <f t="shared" si="131"/>
        <v>-</v>
      </c>
      <c r="AE75" s="140" t="str">
        <f t="shared" si="53"/>
        <v>-</v>
      </c>
      <c r="AF75" s="130" t="str">
        <f t="shared" si="132"/>
        <v>-</v>
      </c>
      <c r="AG75" s="131" t="str">
        <f t="shared" si="133"/>
        <v>-</v>
      </c>
      <c r="AH75" s="130" t="str">
        <f t="shared" si="134"/>
        <v>-</v>
      </c>
      <c r="AI75" s="128" t="str">
        <f t="shared" si="135"/>
        <v>-</v>
      </c>
      <c r="AJ75" s="133" t="str">
        <f t="shared" si="136"/>
        <v>-</v>
      </c>
      <c r="AK75" s="134" t="str">
        <f t="shared" si="137"/>
        <v>-</v>
      </c>
      <c r="AL75" s="125" t="str">
        <f t="shared" si="138"/>
        <v>-</v>
      </c>
      <c r="AM75" s="140" t="str">
        <f t="shared" si="54"/>
        <v>-</v>
      </c>
      <c r="AN75" s="130" t="str">
        <f t="shared" si="139"/>
        <v>-</v>
      </c>
      <c r="AO75" s="131" t="str">
        <f t="shared" si="140"/>
        <v>-</v>
      </c>
      <c r="AP75" s="130" t="str">
        <f t="shared" si="141"/>
        <v>-</v>
      </c>
      <c r="AQ75" s="128" t="str">
        <f t="shared" si="142"/>
        <v>-</v>
      </c>
      <c r="AR75" s="133" t="str">
        <f t="shared" si="143"/>
        <v>-</v>
      </c>
      <c r="AS75" s="134" t="str">
        <f t="shared" si="144"/>
        <v>-</v>
      </c>
      <c r="AT75" s="125" t="str">
        <f t="shared" si="145"/>
        <v>-</v>
      </c>
      <c r="AU75" s="140" t="str">
        <f t="shared" si="55"/>
        <v>-</v>
      </c>
      <c r="AV75" s="130" t="str">
        <f t="shared" si="146"/>
        <v>-</v>
      </c>
      <c r="AW75" s="131" t="str">
        <f t="shared" si="147"/>
        <v>-</v>
      </c>
      <c r="AX75" s="130" t="str">
        <f t="shared" si="148"/>
        <v>-</v>
      </c>
      <c r="AY75" s="128" t="str">
        <f t="shared" si="149"/>
        <v>-</v>
      </c>
      <c r="AZ75" s="133" t="str">
        <f t="shared" si="150"/>
        <v>-</v>
      </c>
      <c r="BA75" s="134" t="str">
        <f t="shared" si="151"/>
        <v>-</v>
      </c>
      <c r="BB75" s="125" t="str">
        <f t="shared" si="35"/>
        <v>-</v>
      </c>
      <c r="BC75" s="140" t="str">
        <f t="shared" si="56"/>
        <v>-</v>
      </c>
      <c r="BD75" s="130" t="str">
        <f t="shared" si="36"/>
        <v>-</v>
      </c>
      <c r="BE75" s="131" t="str">
        <f t="shared" si="37"/>
        <v>-</v>
      </c>
      <c r="BF75" s="130" t="str">
        <f t="shared" si="38"/>
        <v>-</v>
      </c>
      <c r="BG75" s="143" t="str">
        <f t="shared" si="57"/>
        <v>-</v>
      </c>
      <c r="BH75" s="133" t="str">
        <f t="shared" si="39"/>
        <v>-</v>
      </c>
      <c r="BI75" s="134" t="str">
        <f t="shared" si="40"/>
        <v>-</v>
      </c>
      <c r="BJ75" s="125">
        <f t="shared" si="154"/>
        <v>103</v>
      </c>
      <c r="BK75" s="124">
        <f t="shared" si="154"/>
        <v>103</v>
      </c>
      <c r="BL75" s="130">
        <f t="shared" si="58"/>
        <v>4.6347289882296359</v>
      </c>
      <c r="BM75" s="131">
        <f t="shared" si="59"/>
        <v>0</v>
      </c>
      <c r="BN75" s="130">
        <f t="shared" si="42"/>
        <v>103.00000000000001</v>
      </c>
      <c r="BO75" s="133">
        <f t="shared" si="43"/>
        <v>103.00000000000001</v>
      </c>
      <c r="BP75" s="133">
        <f t="shared" si="44"/>
        <v>0</v>
      </c>
      <c r="BQ75" s="134">
        <f t="shared" si="60"/>
        <v>0</v>
      </c>
    </row>
    <row r="76" spans="1:69" x14ac:dyDescent="0.25">
      <c r="A76" t="s">
        <v>196</v>
      </c>
      <c r="B76" s="123" t="s">
        <v>376</v>
      </c>
      <c r="E76" s="152" t="str">
        <f>VLOOKUP(A76,Kleurtabel!$A$2:$F$822,6,FALSE)</f>
        <v>#80DF97FF</v>
      </c>
      <c r="F76" s="125">
        <f t="shared" si="152"/>
        <v>17</v>
      </c>
      <c r="G76" s="124">
        <f t="shared" si="152"/>
        <v>19</v>
      </c>
      <c r="H76" s="130">
        <f t="shared" si="45"/>
        <v>2.8888261616113282</v>
      </c>
      <c r="I76" s="131">
        <f t="shared" si="46"/>
        <v>3.3807183924080275E-2</v>
      </c>
      <c r="J76" s="130">
        <f t="shared" si="1"/>
        <v>17.972200755611428</v>
      </c>
      <c r="K76" s="133">
        <f t="shared" si="120"/>
        <v>17.982474135688012</v>
      </c>
      <c r="L76" s="133">
        <f t="shared" si="121"/>
        <v>0.60811055853240203</v>
      </c>
      <c r="M76" s="134">
        <f t="shared" si="47"/>
        <v>3.3816845999269145E-2</v>
      </c>
      <c r="N76" s="125">
        <f t="shared" si="153"/>
        <v>17</v>
      </c>
      <c r="O76" s="124">
        <f t="shared" si="153"/>
        <v>19</v>
      </c>
      <c r="P76" s="130">
        <f t="shared" si="48"/>
        <v>2.8888261616113282</v>
      </c>
      <c r="Q76" s="131">
        <f t="shared" si="49"/>
        <v>3.3807183924080275E-2</v>
      </c>
      <c r="R76" s="132">
        <f t="shared" si="50"/>
        <v>17.972200755611428</v>
      </c>
      <c r="S76" s="132">
        <f t="shared" si="122"/>
        <v>17.982474135688012</v>
      </c>
      <c r="T76" s="133">
        <f t="shared" si="123"/>
        <v>0.60811055853240203</v>
      </c>
      <c r="U76" s="134">
        <f t="shared" si="51"/>
        <v>3.3816845999269145E-2</v>
      </c>
      <c r="V76" s="155">
        <f t="shared" si="124"/>
        <v>38</v>
      </c>
      <c r="W76" s="140">
        <f t="shared" si="52"/>
        <v>46.255590667338396</v>
      </c>
      <c r="X76" s="130">
        <f t="shared" si="125"/>
        <v>3.7358842478366552</v>
      </c>
      <c r="Y76" s="131">
        <f t="shared" si="126"/>
        <v>5.975567666277759E-2</v>
      </c>
      <c r="Z76" s="130">
        <f t="shared" si="127"/>
        <v>41.925081339919423</v>
      </c>
      <c r="AA76" s="128">
        <f t="shared" si="128"/>
        <v>42</v>
      </c>
      <c r="AB76" s="133">
        <f t="shared" si="129"/>
        <v>2.5119804937796721</v>
      </c>
      <c r="AC76" s="134">
        <f t="shared" si="130"/>
        <v>5.9809059375706478E-2</v>
      </c>
      <c r="AD76" s="125">
        <f t="shared" si="131"/>
        <v>0.28100000000000003</v>
      </c>
      <c r="AE76" s="140">
        <f t="shared" si="53"/>
        <v>0.29917961173681679</v>
      </c>
      <c r="AF76" s="130">
        <f t="shared" si="132"/>
        <v>-1.2380558937214354</v>
      </c>
      <c r="AG76" s="131">
        <f t="shared" si="133"/>
        <v>1.9054538557419898E-2</v>
      </c>
      <c r="AH76" s="130">
        <f t="shared" si="134"/>
        <v>0.28994735883957545</v>
      </c>
      <c r="AI76" s="128">
        <f t="shared" si="135"/>
        <v>0.28999999999999998</v>
      </c>
      <c r="AJ76" s="133">
        <f t="shared" si="136"/>
        <v>5.52631779162778E-3</v>
      </c>
      <c r="AK76" s="134">
        <f t="shared" si="137"/>
        <v>1.9056268246992348E-2</v>
      </c>
      <c r="AL76" s="125">
        <f t="shared" si="138"/>
        <v>0.89200000000000002</v>
      </c>
      <c r="AM76" s="140">
        <f t="shared" si="54"/>
        <v>0.90804508506493276</v>
      </c>
      <c r="AN76" s="130">
        <f t="shared" si="139"/>
        <v>-0.10537519743021823</v>
      </c>
      <c r="AO76" s="131">
        <f t="shared" si="140"/>
        <v>5.4188139646866862E-3</v>
      </c>
      <c r="AP76" s="130">
        <f t="shared" si="141"/>
        <v>0.89998678650184627</v>
      </c>
      <c r="AQ76" s="128">
        <f t="shared" si="142"/>
        <v>0.9</v>
      </c>
      <c r="AR76" s="133">
        <f t="shared" si="143"/>
        <v>4.8769683694481559E-3</v>
      </c>
      <c r="AS76" s="134">
        <f t="shared" si="144"/>
        <v>5.4188537438312843E-3</v>
      </c>
      <c r="AT76" s="125">
        <f t="shared" si="145"/>
        <v>11.57</v>
      </c>
      <c r="AU76" s="140">
        <f t="shared" si="55"/>
        <v>36.715039080961702</v>
      </c>
      <c r="AV76" s="130">
        <f t="shared" si="146"/>
        <v>3.0258009982749376</v>
      </c>
      <c r="AW76" s="131">
        <f t="shared" si="147"/>
        <v>0.35099419882635408</v>
      </c>
      <c r="AX76" s="130">
        <f t="shared" si="148"/>
        <v>20.610507081746601</v>
      </c>
      <c r="AY76" s="128">
        <f t="shared" si="149"/>
        <v>21.92</v>
      </c>
      <c r="AZ76" s="133">
        <f t="shared" si="150"/>
        <v>7.9369515704755926</v>
      </c>
      <c r="BA76" s="134">
        <f t="shared" si="151"/>
        <v>0.36208720668228067</v>
      </c>
      <c r="BB76" s="125">
        <f t="shared" si="35"/>
        <v>6</v>
      </c>
      <c r="BC76" s="140">
        <f t="shared" si="56"/>
        <v>6</v>
      </c>
      <c r="BD76" s="130">
        <f t="shared" si="36"/>
        <v>1.791759469228055</v>
      </c>
      <c r="BE76" s="131">
        <f t="shared" si="37"/>
        <v>0</v>
      </c>
      <c r="BF76" s="130">
        <f t="shared" si="38"/>
        <v>6</v>
      </c>
      <c r="BG76" s="143">
        <f t="shared" si="57"/>
        <v>6</v>
      </c>
      <c r="BH76" s="133">
        <f t="shared" si="39"/>
        <v>0</v>
      </c>
      <c r="BI76" s="134">
        <f t="shared" si="40"/>
        <v>0</v>
      </c>
      <c r="BJ76" s="125">
        <f t="shared" si="154"/>
        <v>103</v>
      </c>
      <c r="BK76" s="124">
        <f t="shared" si="154"/>
        <v>103</v>
      </c>
      <c r="BL76" s="130">
        <f t="shared" si="58"/>
        <v>4.6347289882296359</v>
      </c>
      <c r="BM76" s="131">
        <f t="shared" si="59"/>
        <v>0</v>
      </c>
      <c r="BN76" s="130">
        <f t="shared" si="42"/>
        <v>103.00000000000001</v>
      </c>
      <c r="BO76" s="133">
        <f t="shared" si="43"/>
        <v>103.00000000000001</v>
      </c>
      <c r="BP76" s="133">
        <f t="shared" si="44"/>
        <v>0</v>
      </c>
      <c r="BQ76" s="134">
        <f t="shared" si="60"/>
        <v>0</v>
      </c>
    </row>
    <row r="77" spans="1:69" x14ac:dyDescent="0.25">
      <c r="A77" t="s">
        <v>198</v>
      </c>
      <c r="B77" t="s">
        <v>377</v>
      </c>
      <c r="E77" s="152" t="str">
        <f>VLOOKUP(A77,Kleurtabel!$A$2:$F$822,6,FALSE)</f>
        <v>#8000D6A3</v>
      </c>
      <c r="F77" s="125">
        <f t="shared" si="152"/>
        <v>13</v>
      </c>
      <c r="G77" s="124">
        <f t="shared" si="152"/>
        <v>15</v>
      </c>
      <c r="H77" s="130">
        <f t="shared" si="45"/>
        <v>2.6364997792818734</v>
      </c>
      <c r="I77" s="131">
        <f t="shared" si="46"/>
        <v>4.3495697155219858E-2</v>
      </c>
      <c r="J77" s="130">
        <f t="shared" si="1"/>
        <v>13.964240043768941</v>
      </c>
      <c r="K77" s="133">
        <f t="shared" si="120"/>
        <v>13.977455596330634</v>
      </c>
      <c r="L77" s="133">
        <f t="shared" si="121"/>
        <v>0.60824683477754204</v>
      </c>
      <c r="M77" s="134">
        <f t="shared" si="47"/>
        <v>4.3516277378639584E-2</v>
      </c>
      <c r="N77" s="125">
        <f t="shared" si="153"/>
        <v>13</v>
      </c>
      <c r="O77" s="124">
        <f t="shared" si="153"/>
        <v>15</v>
      </c>
      <c r="P77" s="130">
        <f t="shared" si="48"/>
        <v>2.6364997792818734</v>
      </c>
      <c r="Q77" s="131">
        <f t="shared" si="49"/>
        <v>4.3495697155219858E-2</v>
      </c>
      <c r="R77" s="132">
        <f t="shared" si="50"/>
        <v>13.964240043768941</v>
      </c>
      <c r="S77" s="132">
        <f t="shared" si="122"/>
        <v>13.977455596330634</v>
      </c>
      <c r="T77" s="133">
        <f t="shared" si="123"/>
        <v>0.60824683477754204</v>
      </c>
      <c r="U77" s="134">
        <f t="shared" si="51"/>
        <v>4.3516277378639584E-2</v>
      </c>
      <c r="V77" s="155">
        <f t="shared" si="124"/>
        <v>38</v>
      </c>
      <c r="W77" s="140">
        <f t="shared" si="52"/>
        <v>46.255590667338396</v>
      </c>
      <c r="X77" s="130">
        <f t="shared" si="125"/>
        <v>3.7358842478366552</v>
      </c>
      <c r="Y77" s="131">
        <f t="shared" si="126"/>
        <v>5.975567666277759E-2</v>
      </c>
      <c r="Z77" s="130">
        <f t="shared" si="127"/>
        <v>41.925081339919423</v>
      </c>
      <c r="AA77" s="128">
        <f t="shared" si="128"/>
        <v>42</v>
      </c>
      <c r="AB77" s="133">
        <f t="shared" si="129"/>
        <v>2.5119804937796721</v>
      </c>
      <c r="AC77" s="134">
        <f t="shared" si="130"/>
        <v>5.9809059375706478E-2</v>
      </c>
      <c r="AD77" s="125">
        <f t="shared" si="131"/>
        <v>0.28100000000000003</v>
      </c>
      <c r="AE77" s="140">
        <f t="shared" si="53"/>
        <v>0.29917961173681679</v>
      </c>
      <c r="AF77" s="130">
        <f t="shared" si="132"/>
        <v>-1.2380558937214354</v>
      </c>
      <c r="AG77" s="131">
        <f t="shared" si="133"/>
        <v>1.9054538557419898E-2</v>
      </c>
      <c r="AH77" s="130">
        <f t="shared" si="134"/>
        <v>0.28994735883957545</v>
      </c>
      <c r="AI77" s="128">
        <f t="shared" si="135"/>
        <v>0.28999999999999998</v>
      </c>
      <c r="AJ77" s="133">
        <f t="shared" si="136"/>
        <v>5.52631779162778E-3</v>
      </c>
      <c r="AK77" s="134">
        <f t="shared" si="137"/>
        <v>1.9056268246992348E-2</v>
      </c>
      <c r="AL77" s="125">
        <f t="shared" si="138"/>
        <v>0.89200000000000002</v>
      </c>
      <c r="AM77" s="140">
        <f t="shared" si="54"/>
        <v>0.90804508506493276</v>
      </c>
      <c r="AN77" s="130">
        <f t="shared" si="139"/>
        <v>-0.10537519743021823</v>
      </c>
      <c r="AO77" s="131">
        <f t="shared" si="140"/>
        <v>5.4188139646866862E-3</v>
      </c>
      <c r="AP77" s="130">
        <f t="shared" si="141"/>
        <v>0.89998678650184627</v>
      </c>
      <c r="AQ77" s="128">
        <f t="shared" si="142"/>
        <v>0.9</v>
      </c>
      <c r="AR77" s="133">
        <f t="shared" si="143"/>
        <v>4.8769683694481559E-3</v>
      </c>
      <c r="AS77" s="134">
        <f t="shared" si="144"/>
        <v>5.4188537438312843E-3</v>
      </c>
      <c r="AT77" s="125">
        <f t="shared" si="145"/>
        <v>11.57</v>
      </c>
      <c r="AU77" s="140">
        <f t="shared" si="55"/>
        <v>36.715039080961702</v>
      </c>
      <c r="AV77" s="130">
        <f t="shared" si="146"/>
        <v>3.0258009982749376</v>
      </c>
      <c r="AW77" s="131">
        <f t="shared" si="147"/>
        <v>0.35099419882635408</v>
      </c>
      <c r="AX77" s="130">
        <f t="shared" si="148"/>
        <v>20.610507081746601</v>
      </c>
      <c r="AY77" s="128">
        <f t="shared" si="149"/>
        <v>21.92</v>
      </c>
      <c r="AZ77" s="133">
        <f t="shared" si="150"/>
        <v>7.9369515704755926</v>
      </c>
      <c r="BA77" s="134">
        <f t="shared" si="151"/>
        <v>0.36208720668228067</v>
      </c>
      <c r="BB77" s="125">
        <f t="shared" si="35"/>
        <v>4.0999999999999996</v>
      </c>
      <c r="BC77" s="140">
        <f t="shared" si="56"/>
        <v>4.0999999999999996</v>
      </c>
      <c r="BD77" s="130">
        <f t="shared" si="36"/>
        <v>1.410986973710262</v>
      </c>
      <c r="BE77" s="131">
        <f t="shared" si="37"/>
        <v>0</v>
      </c>
      <c r="BF77" s="130">
        <f t="shared" si="38"/>
        <v>4.0999999999999996</v>
      </c>
      <c r="BG77" s="143">
        <f t="shared" si="57"/>
        <v>4.0999999999999996</v>
      </c>
      <c r="BH77" s="133">
        <f t="shared" si="39"/>
        <v>0</v>
      </c>
      <c r="BI77" s="134">
        <f t="shared" si="40"/>
        <v>0</v>
      </c>
      <c r="BJ77" s="125">
        <f t="shared" si="154"/>
        <v>60</v>
      </c>
      <c r="BK77" s="124">
        <f t="shared" si="154"/>
        <v>100</v>
      </c>
      <c r="BL77" s="130">
        <f t="shared" si="58"/>
        <v>4.3497573741050957</v>
      </c>
      <c r="BM77" s="131">
        <f t="shared" si="59"/>
        <v>0.15526614704133476</v>
      </c>
      <c r="BN77" s="130">
        <f t="shared" si="42"/>
        <v>77.459666924148308</v>
      </c>
      <c r="BO77" s="133">
        <f t="shared" si="43"/>
        <v>78.398999227036953</v>
      </c>
      <c r="BP77" s="133">
        <f t="shared" si="44"/>
        <v>12.24644397761314</v>
      </c>
      <c r="BQ77" s="134">
        <f t="shared" si="60"/>
        <v>0.15620663654326072</v>
      </c>
    </row>
    <row r="78" spans="1:69" x14ac:dyDescent="0.25">
      <c r="A78" t="s">
        <v>201</v>
      </c>
      <c r="B78" t="s">
        <v>384</v>
      </c>
      <c r="E78" s="152" t="str">
        <f>VLOOKUP(A78,Kleurtabel!$A$2:$F$822,6,FALSE)</f>
        <v>#00000000</v>
      </c>
      <c r="F78" s="125">
        <f t="shared" si="152"/>
        <v>17</v>
      </c>
      <c r="G78" s="124">
        <f t="shared" si="152"/>
        <v>19</v>
      </c>
      <c r="H78" s="130">
        <f t="shared" si="45"/>
        <v>2.8888261616113282</v>
      </c>
      <c r="I78" s="131">
        <f t="shared" si="46"/>
        <v>3.3807183924080275E-2</v>
      </c>
      <c r="J78" s="130">
        <f t="shared" si="1"/>
        <v>17.972200755611428</v>
      </c>
      <c r="K78" s="133">
        <f t="shared" si="120"/>
        <v>17.982474135688012</v>
      </c>
      <c r="L78" s="133">
        <f t="shared" si="121"/>
        <v>0.60811055853240203</v>
      </c>
      <c r="M78" s="134">
        <f t="shared" si="47"/>
        <v>3.3816845999269145E-2</v>
      </c>
      <c r="N78" s="125">
        <f t="shared" si="153"/>
        <v>17</v>
      </c>
      <c r="O78" s="124">
        <f t="shared" si="153"/>
        <v>19</v>
      </c>
      <c r="P78" s="130">
        <f t="shared" si="48"/>
        <v>2.8888261616113282</v>
      </c>
      <c r="Q78" s="131">
        <f t="shared" si="49"/>
        <v>3.3807183924080275E-2</v>
      </c>
      <c r="R78" s="132">
        <f t="shared" si="50"/>
        <v>17.972200755611428</v>
      </c>
      <c r="S78" s="132">
        <f t="shared" si="122"/>
        <v>17.982474135688012</v>
      </c>
      <c r="T78" s="133">
        <f t="shared" si="123"/>
        <v>0.60811055853240203</v>
      </c>
      <c r="U78" s="134">
        <f t="shared" si="51"/>
        <v>3.3816845999269145E-2</v>
      </c>
      <c r="V78" s="155">
        <f t="shared" si="124"/>
        <v>30.95</v>
      </c>
      <c r="W78" s="140">
        <f t="shared" si="52"/>
        <v>33.072180669348825</v>
      </c>
      <c r="X78" s="130">
        <f t="shared" si="125"/>
        <v>3.4655327324823864</v>
      </c>
      <c r="Y78" s="131">
        <f t="shared" si="126"/>
        <v>2.015789261506451E-2</v>
      </c>
      <c r="Z78" s="130">
        <f t="shared" si="127"/>
        <v>31.993499210251233</v>
      </c>
      <c r="AA78" s="128">
        <f t="shared" si="128"/>
        <v>32</v>
      </c>
      <c r="AB78" s="133">
        <f t="shared" si="129"/>
        <v>0.64511809699671463</v>
      </c>
      <c r="AC78" s="134">
        <f t="shared" si="130"/>
        <v>2.0159940531147332E-2</v>
      </c>
      <c r="AD78" s="125" t="str">
        <f t="shared" si="131"/>
        <v>-</v>
      </c>
      <c r="AE78" s="140" t="str">
        <f t="shared" si="53"/>
        <v>-</v>
      </c>
      <c r="AF78" s="130" t="str">
        <f t="shared" si="132"/>
        <v>-</v>
      </c>
      <c r="AG78" s="131" t="str">
        <f t="shared" si="133"/>
        <v>-</v>
      </c>
      <c r="AH78" s="130" t="str">
        <f t="shared" si="134"/>
        <v>-</v>
      </c>
      <c r="AI78" s="128" t="str">
        <f t="shared" si="135"/>
        <v>-</v>
      </c>
      <c r="AJ78" s="133" t="str">
        <f t="shared" si="136"/>
        <v>-</v>
      </c>
      <c r="AK78" s="134" t="str">
        <f t="shared" si="137"/>
        <v>-</v>
      </c>
      <c r="AL78" s="125" t="str">
        <f t="shared" si="138"/>
        <v>-</v>
      </c>
      <c r="AM78" s="140" t="str">
        <f t="shared" si="54"/>
        <v>-</v>
      </c>
      <c r="AN78" s="130" t="str">
        <f t="shared" si="139"/>
        <v>-</v>
      </c>
      <c r="AO78" s="131" t="str">
        <f t="shared" si="140"/>
        <v>-</v>
      </c>
      <c r="AP78" s="130" t="str">
        <f t="shared" si="141"/>
        <v>-</v>
      </c>
      <c r="AQ78" s="128" t="str">
        <f t="shared" si="142"/>
        <v>-</v>
      </c>
      <c r="AR78" s="133" t="str">
        <f t="shared" si="143"/>
        <v>-</v>
      </c>
      <c r="AS78" s="134" t="str">
        <f t="shared" si="144"/>
        <v>-</v>
      </c>
      <c r="AT78" s="125" t="str">
        <f t="shared" si="145"/>
        <v>-</v>
      </c>
      <c r="AU78" s="140" t="str">
        <f t="shared" si="55"/>
        <v>-</v>
      </c>
      <c r="AV78" s="130" t="str">
        <f t="shared" si="146"/>
        <v>-</v>
      </c>
      <c r="AW78" s="131" t="str">
        <f t="shared" si="147"/>
        <v>-</v>
      </c>
      <c r="AX78" s="130" t="str">
        <f t="shared" si="148"/>
        <v>-</v>
      </c>
      <c r="AY78" s="128" t="str">
        <f t="shared" si="149"/>
        <v>-</v>
      </c>
      <c r="AZ78" s="133" t="str">
        <f t="shared" si="150"/>
        <v>-</v>
      </c>
      <c r="BA78" s="134" t="str">
        <f t="shared" si="151"/>
        <v>-</v>
      </c>
      <c r="BB78" s="125">
        <f t="shared" si="35"/>
        <v>30</v>
      </c>
      <c r="BC78" s="140">
        <f t="shared" si="56"/>
        <v>30.000000000000004</v>
      </c>
      <c r="BD78" s="130">
        <f t="shared" si="36"/>
        <v>3.4011973816621555</v>
      </c>
      <c r="BE78" s="131">
        <f t="shared" si="37"/>
        <v>0</v>
      </c>
      <c r="BF78" s="130">
        <f t="shared" si="38"/>
        <v>30.000000000000004</v>
      </c>
      <c r="BG78" s="143">
        <f t="shared" si="57"/>
        <v>30</v>
      </c>
      <c r="BH78" s="133">
        <f t="shared" si="39"/>
        <v>0</v>
      </c>
      <c r="BI78" s="134">
        <f t="shared" si="40"/>
        <v>0</v>
      </c>
      <c r="BJ78" s="125">
        <f t="shared" si="154"/>
        <v>78</v>
      </c>
      <c r="BK78" s="124">
        <f t="shared" si="154"/>
        <v>100</v>
      </c>
      <c r="BL78" s="130">
        <f t="shared" si="58"/>
        <v>4.4809395063388422</v>
      </c>
      <c r="BM78" s="131">
        <f t="shared" si="59"/>
        <v>7.5520169999544098E-2</v>
      </c>
      <c r="BN78" s="130">
        <f t="shared" si="42"/>
        <v>88.31760866327852</v>
      </c>
      <c r="BO78" s="133">
        <f t="shared" si="43"/>
        <v>88.569818835186339</v>
      </c>
      <c r="BP78" s="133">
        <f t="shared" si="44"/>
        <v>6.6983561795592319</v>
      </c>
      <c r="BQ78" s="134">
        <f t="shared" si="60"/>
        <v>7.5627976523512552E-2</v>
      </c>
    </row>
    <row r="79" spans="1:69" x14ac:dyDescent="0.25">
      <c r="A79" t="s">
        <v>204</v>
      </c>
      <c r="B79" t="s">
        <v>384</v>
      </c>
      <c r="E79" s="152" t="str">
        <f>VLOOKUP(A79,Kleurtabel!$A$2:$F$822,6,FALSE)</f>
        <v>#00000000</v>
      </c>
      <c r="F79" s="125">
        <f t="shared" si="152"/>
        <v>18</v>
      </c>
      <c r="G79" s="124">
        <f t="shared" si="152"/>
        <v>19</v>
      </c>
      <c r="H79" s="130">
        <f t="shared" si="45"/>
        <v>2.9174053685313024</v>
      </c>
      <c r="I79" s="131">
        <f t="shared" si="46"/>
        <v>1.6433805857226671E-2</v>
      </c>
      <c r="J79" s="130">
        <f t="shared" si="1"/>
        <v>18.493242008906925</v>
      </c>
      <c r="K79" s="133">
        <f t="shared" si="120"/>
        <v>18.495739412224619</v>
      </c>
      <c r="L79" s="133">
        <f t="shared" si="121"/>
        <v>0.30397591414727615</v>
      </c>
      <c r="M79" s="134">
        <f t="shared" si="47"/>
        <v>1.6434915489043144E-2</v>
      </c>
      <c r="N79" s="125">
        <f t="shared" si="153"/>
        <v>20</v>
      </c>
      <c r="O79" s="124">
        <f t="shared" si="153"/>
        <v>21</v>
      </c>
      <c r="P79" s="130">
        <f t="shared" si="48"/>
        <v>3.0201273556387069</v>
      </c>
      <c r="Q79" s="131">
        <f t="shared" si="49"/>
        <v>1.4829837133566006E-2</v>
      </c>
      <c r="R79" s="132">
        <f t="shared" si="50"/>
        <v>20.493901531919196</v>
      </c>
      <c r="S79" s="132">
        <f t="shared" si="122"/>
        <v>20.496155206937743</v>
      </c>
      <c r="T79" s="133">
        <f t="shared" si="123"/>
        <v>0.30397135608439629</v>
      </c>
      <c r="U79" s="134">
        <f t="shared" si="51"/>
        <v>1.4830652530456298E-2</v>
      </c>
      <c r="V79" s="155">
        <f t="shared" si="124"/>
        <v>30.95</v>
      </c>
      <c r="W79" s="140">
        <f t="shared" si="52"/>
        <v>33.072180669348825</v>
      </c>
      <c r="X79" s="130">
        <f t="shared" si="125"/>
        <v>3.4655327324823864</v>
      </c>
      <c r="Y79" s="131">
        <f t="shared" si="126"/>
        <v>2.015789261506451E-2</v>
      </c>
      <c r="Z79" s="130">
        <f t="shared" si="127"/>
        <v>31.993499210251233</v>
      </c>
      <c r="AA79" s="128">
        <f t="shared" si="128"/>
        <v>32</v>
      </c>
      <c r="AB79" s="133">
        <f t="shared" si="129"/>
        <v>0.64511809699671463</v>
      </c>
      <c r="AC79" s="134">
        <f t="shared" si="130"/>
        <v>2.0159940531147332E-2</v>
      </c>
      <c r="AD79" s="125" t="str">
        <f t="shared" si="131"/>
        <v>-</v>
      </c>
      <c r="AE79" s="140" t="str">
        <f t="shared" si="53"/>
        <v>-</v>
      </c>
      <c r="AF79" s="130" t="str">
        <f t="shared" si="132"/>
        <v>-</v>
      </c>
      <c r="AG79" s="131" t="str">
        <f t="shared" si="133"/>
        <v>-</v>
      </c>
      <c r="AH79" s="130" t="str">
        <f t="shared" si="134"/>
        <v>-</v>
      </c>
      <c r="AI79" s="128" t="str">
        <f t="shared" si="135"/>
        <v>-</v>
      </c>
      <c r="AJ79" s="133" t="str">
        <f t="shared" si="136"/>
        <v>-</v>
      </c>
      <c r="AK79" s="134" t="str">
        <f t="shared" si="137"/>
        <v>-</v>
      </c>
      <c r="AL79" s="125" t="str">
        <f t="shared" si="138"/>
        <v>-</v>
      </c>
      <c r="AM79" s="140" t="str">
        <f t="shared" si="54"/>
        <v>-</v>
      </c>
      <c r="AN79" s="130" t="str">
        <f t="shared" si="139"/>
        <v>-</v>
      </c>
      <c r="AO79" s="131" t="str">
        <f t="shared" si="140"/>
        <v>-</v>
      </c>
      <c r="AP79" s="130" t="str">
        <f t="shared" si="141"/>
        <v>-</v>
      </c>
      <c r="AQ79" s="128" t="str">
        <f t="shared" si="142"/>
        <v>-</v>
      </c>
      <c r="AR79" s="133" t="str">
        <f t="shared" si="143"/>
        <v>-</v>
      </c>
      <c r="AS79" s="134" t="str">
        <f t="shared" si="144"/>
        <v>-</v>
      </c>
      <c r="AT79" s="125" t="str">
        <f t="shared" si="145"/>
        <v>-</v>
      </c>
      <c r="AU79" s="140" t="str">
        <f t="shared" si="55"/>
        <v>-</v>
      </c>
      <c r="AV79" s="130" t="str">
        <f t="shared" si="146"/>
        <v>-</v>
      </c>
      <c r="AW79" s="131" t="str">
        <f t="shared" si="147"/>
        <v>-</v>
      </c>
      <c r="AX79" s="130" t="str">
        <f t="shared" si="148"/>
        <v>-</v>
      </c>
      <c r="AY79" s="128" t="str">
        <f t="shared" si="149"/>
        <v>-</v>
      </c>
      <c r="AZ79" s="133" t="str">
        <f t="shared" si="150"/>
        <v>-</v>
      </c>
      <c r="BA79" s="134" t="str">
        <f t="shared" si="151"/>
        <v>-</v>
      </c>
      <c r="BB79" s="125" t="str">
        <f t="shared" si="35"/>
        <v>-</v>
      </c>
      <c r="BC79" s="140" t="str">
        <f t="shared" si="56"/>
        <v>-</v>
      </c>
      <c r="BD79" s="130" t="str">
        <f t="shared" si="36"/>
        <v>-</v>
      </c>
      <c r="BE79" s="131" t="str">
        <f t="shared" si="37"/>
        <v>-</v>
      </c>
      <c r="BF79" s="130" t="str">
        <f t="shared" si="38"/>
        <v>-</v>
      </c>
      <c r="BG79" s="143" t="str">
        <f t="shared" si="57"/>
        <v>-</v>
      </c>
      <c r="BH79" s="133" t="str">
        <f t="shared" si="39"/>
        <v>-</v>
      </c>
      <c r="BI79" s="134" t="str">
        <f t="shared" si="40"/>
        <v>-</v>
      </c>
      <c r="BJ79" s="125">
        <f t="shared" si="154"/>
        <v>109</v>
      </c>
      <c r="BK79" s="124">
        <f t="shared" si="154"/>
        <v>109</v>
      </c>
      <c r="BL79" s="130">
        <f t="shared" si="58"/>
        <v>4.6913478822291435</v>
      </c>
      <c r="BM79" s="131">
        <f t="shared" si="59"/>
        <v>0</v>
      </c>
      <c r="BN79" s="130">
        <f t="shared" si="42"/>
        <v>108.99999999999997</v>
      </c>
      <c r="BO79" s="133">
        <f t="shared" si="43"/>
        <v>108.99999999999997</v>
      </c>
      <c r="BP79" s="133">
        <f t="shared" si="44"/>
        <v>0</v>
      </c>
      <c r="BQ79" s="134">
        <f t="shared" si="60"/>
        <v>0</v>
      </c>
    </row>
    <row r="80" spans="1:69" x14ac:dyDescent="0.25">
      <c r="A80" t="s">
        <v>207</v>
      </c>
      <c r="B80" t="s">
        <v>384</v>
      </c>
      <c r="E80" s="152" t="str">
        <f>VLOOKUP(A80,Kleurtabel!$A$2:$F$822,6,FALSE)</f>
        <v>#00000000</v>
      </c>
      <c r="F80" s="125">
        <f t="shared" si="152"/>
        <v>11</v>
      </c>
      <c r="G80" s="124">
        <f t="shared" si="152"/>
        <v>12</v>
      </c>
      <c r="H80" s="130">
        <f t="shared" si="45"/>
        <v>2.4414009612931853</v>
      </c>
      <c r="I80" s="131">
        <f t="shared" si="46"/>
        <v>2.6447227048519661E-2</v>
      </c>
      <c r="J80" s="130">
        <f t="shared" si="1"/>
        <v>11.489125293076055</v>
      </c>
      <c r="K80" s="133">
        <f t="shared" si="120"/>
        <v>11.493144063541372</v>
      </c>
      <c r="L80" s="133">
        <f t="shared" si="121"/>
        <v>0.3040149502566829</v>
      </c>
      <c r="M80" s="134">
        <f t="shared" si="47"/>
        <v>2.6451852389206634E-2</v>
      </c>
      <c r="N80" s="125">
        <f t="shared" si="153"/>
        <v>11</v>
      </c>
      <c r="O80" s="124">
        <f t="shared" si="153"/>
        <v>12</v>
      </c>
      <c r="P80" s="130">
        <f t="shared" si="48"/>
        <v>2.4414009612931853</v>
      </c>
      <c r="Q80" s="131">
        <f t="shared" si="49"/>
        <v>2.6447227048519661E-2</v>
      </c>
      <c r="R80" s="132">
        <f t="shared" si="50"/>
        <v>11.489125293076055</v>
      </c>
      <c r="S80" s="132">
        <f t="shared" si="122"/>
        <v>11.493144063541372</v>
      </c>
      <c r="T80" s="133">
        <f t="shared" si="123"/>
        <v>0.3040149502566829</v>
      </c>
      <c r="U80" s="134">
        <f t="shared" si="51"/>
        <v>2.6451852389206634E-2</v>
      </c>
      <c r="V80" s="155">
        <f t="shared" si="124"/>
        <v>37</v>
      </c>
      <c r="W80" s="140">
        <f t="shared" si="52"/>
        <v>51.781071506430919</v>
      </c>
      <c r="X80" s="130">
        <f t="shared" si="125"/>
        <v>3.778971290097795</v>
      </c>
      <c r="Y80" s="131">
        <f t="shared" si="126"/>
        <v>0.10216010787451113</v>
      </c>
      <c r="Z80" s="130">
        <f t="shared" si="127"/>
        <v>43.77099091565033</v>
      </c>
      <c r="AA80" s="128">
        <f t="shared" si="128"/>
        <v>44</v>
      </c>
      <c r="AB80" s="133">
        <f t="shared" si="129"/>
        <v>4.5067986319898123</v>
      </c>
      <c r="AC80" s="134">
        <f t="shared" si="130"/>
        <v>0.10242724163613209</v>
      </c>
      <c r="AD80" s="125" t="str">
        <f t="shared" si="131"/>
        <v>-</v>
      </c>
      <c r="AE80" s="140" t="str">
        <f t="shared" si="53"/>
        <v>-</v>
      </c>
      <c r="AF80" s="130" t="str">
        <f t="shared" si="132"/>
        <v>-</v>
      </c>
      <c r="AG80" s="131" t="str">
        <f t="shared" si="133"/>
        <v>-</v>
      </c>
      <c r="AH80" s="130" t="str">
        <f t="shared" si="134"/>
        <v>-</v>
      </c>
      <c r="AI80" s="128" t="str">
        <f t="shared" si="135"/>
        <v>-</v>
      </c>
      <c r="AJ80" s="133" t="str">
        <f t="shared" si="136"/>
        <v>-</v>
      </c>
      <c r="AK80" s="134" t="str">
        <f t="shared" si="137"/>
        <v>-</v>
      </c>
      <c r="AL80" s="125" t="str">
        <f t="shared" si="138"/>
        <v>-</v>
      </c>
      <c r="AM80" s="140" t="str">
        <f t="shared" si="54"/>
        <v>-</v>
      </c>
      <c r="AN80" s="130" t="str">
        <f t="shared" si="139"/>
        <v>-</v>
      </c>
      <c r="AO80" s="131" t="str">
        <f t="shared" si="140"/>
        <v>-</v>
      </c>
      <c r="AP80" s="130" t="str">
        <f t="shared" si="141"/>
        <v>-</v>
      </c>
      <c r="AQ80" s="128" t="str">
        <f t="shared" si="142"/>
        <v>-</v>
      </c>
      <c r="AR80" s="133" t="str">
        <f t="shared" si="143"/>
        <v>-</v>
      </c>
      <c r="AS80" s="134" t="str">
        <f t="shared" si="144"/>
        <v>-</v>
      </c>
      <c r="AT80" s="125" t="str">
        <f t="shared" si="145"/>
        <v>-</v>
      </c>
      <c r="AU80" s="140" t="str">
        <f t="shared" si="55"/>
        <v>-</v>
      </c>
      <c r="AV80" s="130" t="str">
        <f t="shared" si="146"/>
        <v>-</v>
      </c>
      <c r="AW80" s="131" t="str">
        <f t="shared" si="147"/>
        <v>-</v>
      </c>
      <c r="AX80" s="130" t="str">
        <f t="shared" si="148"/>
        <v>-</v>
      </c>
      <c r="AY80" s="128" t="str">
        <f t="shared" si="149"/>
        <v>-</v>
      </c>
      <c r="AZ80" s="133" t="str">
        <f t="shared" si="150"/>
        <v>-</v>
      </c>
      <c r="BA80" s="134" t="str">
        <f t="shared" si="151"/>
        <v>-</v>
      </c>
      <c r="BB80" s="125">
        <f t="shared" si="35"/>
        <v>30</v>
      </c>
      <c r="BC80" s="140">
        <f t="shared" si="56"/>
        <v>30.000000000000004</v>
      </c>
      <c r="BD80" s="130">
        <f t="shared" si="36"/>
        <v>3.4011973816621555</v>
      </c>
      <c r="BE80" s="131">
        <f t="shared" si="37"/>
        <v>0</v>
      </c>
      <c r="BF80" s="130">
        <f t="shared" si="38"/>
        <v>30.000000000000004</v>
      </c>
      <c r="BG80" s="143">
        <f t="shared" si="57"/>
        <v>30</v>
      </c>
      <c r="BH80" s="133">
        <f t="shared" si="39"/>
        <v>0</v>
      </c>
      <c r="BI80" s="134">
        <f t="shared" si="40"/>
        <v>0</v>
      </c>
      <c r="BJ80" s="125">
        <f t="shared" si="154"/>
        <v>86</v>
      </c>
      <c r="BK80" s="124">
        <f t="shared" si="154"/>
        <v>103</v>
      </c>
      <c r="BL80" s="130">
        <f t="shared" si="58"/>
        <v>4.5445381422415716</v>
      </c>
      <c r="BM80" s="131">
        <f t="shared" si="59"/>
        <v>5.4827261998823255E-2</v>
      </c>
      <c r="BN80" s="130">
        <f t="shared" si="42"/>
        <v>94.116948526819527</v>
      </c>
      <c r="BO80" s="133">
        <f t="shared" si="43"/>
        <v>94.258514009895094</v>
      </c>
      <c r="BP80" s="133">
        <f t="shared" si="44"/>
        <v>5.1718224176661645</v>
      </c>
      <c r="BQ80" s="134">
        <f t="shared" si="60"/>
        <v>5.4868490894342294E-2</v>
      </c>
    </row>
    <row r="81" spans="1:69" x14ac:dyDescent="0.25">
      <c r="A81" t="s">
        <v>211</v>
      </c>
      <c r="B81" t="s">
        <v>384</v>
      </c>
      <c r="E81" s="152" t="str">
        <f>VLOOKUP(A81,Kleurtabel!$A$2:$F$822,6,FALSE)</f>
        <v>#00000000</v>
      </c>
      <c r="F81" s="125" t="str">
        <f t="shared" si="152"/>
        <v>Niet van toepassing</v>
      </c>
      <c r="G81" s="124" t="str">
        <f t="shared" si="152"/>
        <v>Niet van toepassing</v>
      </c>
      <c r="H81" s="130"/>
      <c r="I81" s="131"/>
      <c r="J81" s="130">
        <f t="shared" si="1"/>
        <v>1</v>
      </c>
      <c r="K81" s="133">
        <f t="shared" si="120"/>
        <v>1</v>
      </c>
      <c r="L81" s="133">
        <f t="shared" si="121"/>
        <v>0</v>
      </c>
      <c r="M81" s="134">
        <f t="shared" si="47"/>
        <v>0</v>
      </c>
      <c r="N81" s="125" t="str">
        <f t="shared" si="153"/>
        <v>Niet van toepassing</v>
      </c>
      <c r="O81" s="124" t="str">
        <f t="shared" si="153"/>
        <v>Niet van toepassing</v>
      </c>
      <c r="P81" s="130" t="e">
        <f t="shared" si="48"/>
        <v>#VALUE!</v>
      </c>
      <c r="Q81" s="131" t="e">
        <f t="shared" si="49"/>
        <v>#VALUE!</v>
      </c>
      <c r="R81" s="132" t="e">
        <f t="shared" si="50"/>
        <v>#VALUE!</v>
      </c>
      <c r="S81" s="132" t="e">
        <f t="shared" si="122"/>
        <v>#VALUE!</v>
      </c>
      <c r="T81" s="133" t="e">
        <f t="shared" si="123"/>
        <v>#VALUE!</v>
      </c>
      <c r="U81" s="134" t="e">
        <f t="shared" si="51"/>
        <v>#VALUE!</v>
      </c>
      <c r="V81" s="155" t="e">
        <f t="shared" si="124"/>
        <v>#VALUE!</v>
      </c>
      <c r="W81" s="140" t="e">
        <f t="shared" si="52"/>
        <v>#VALUE!</v>
      </c>
      <c r="X81" s="130" t="e">
        <f t="shared" si="125"/>
        <v>#VALUE!</v>
      </c>
      <c r="Y81" s="131" t="e">
        <f t="shared" si="126"/>
        <v>#VALUE!</v>
      </c>
      <c r="Z81" s="130" t="e">
        <f t="shared" si="127"/>
        <v>#VALUE!</v>
      </c>
      <c r="AA81" s="128" t="str">
        <f t="shared" si="128"/>
        <v>Niet van toepassing</v>
      </c>
      <c r="AB81" s="133" t="e">
        <f t="shared" si="129"/>
        <v>#VALUE!</v>
      </c>
      <c r="AC81" s="134" t="e">
        <f t="shared" si="130"/>
        <v>#VALUE!</v>
      </c>
      <c r="AD81" s="125" t="str">
        <f t="shared" si="131"/>
        <v>-</v>
      </c>
      <c r="AE81" s="140" t="str">
        <f t="shared" si="53"/>
        <v>-</v>
      </c>
      <c r="AF81" s="130" t="str">
        <f t="shared" si="132"/>
        <v>-</v>
      </c>
      <c r="AG81" s="131" t="str">
        <f t="shared" si="133"/>
        <v>-</v>
      </c>
      <c r="AH81" s="130" t="str">
        <f t="shared" si="134"/>
        <v>-</v>
      </c>
      <c r="AI81" s="128" t="str">
        <f t="shared" si="135"/>
        <v>-</v>
      </c>
      <c r="AJ81" s="133" t="str">
        <f t="shared" si="136"/>
        <v>-</v>
      </c>
      <c r="AK81" s="134" t="str">
        <f t="shared" si="137"/>
        <v>-</v>
      </c>
      <c r="AL81" s="125" t="str">
        <f t="shared" si="138"/>
        <v>-</v>
      </c>
      <c r="AM81" s="140" t="str">
        <f t="shared" si="54"/>
        <v>-</v>
      </c>
      <c r="AN81" s="130" t="str">
        <f t="shared" si="139"/>
        <v>-</v>
      </c>
      <c r="AO81" s="131" t="str">
        <f t="shared" si="140"/>
        <v>-</v>
      </c>
      <c r="AP81" s="130" t="str">
        <f t="shared" si="141"/>
        <v>-</v>
      </c>
      <c r="AQ81" s="128" t="str">
        <f t="shared" si="142"/>
        <v>-</v>
      </c>
      <c r="AR81" s="133" t="str">
        <f t="shared" si="143"/>
        <v>-</v>
      </c>
      <c r="AS81" s="134" t="str">
        <f t="shared" si="144"/>
        <v>-</v>
      </c>
      <c r="AT81" s="125" t="str">
        <f t="shared" si="145"/>
        <v>-</v>
      </c>
      <c r="AU81" s="140" t="str">
        <f t="shared" si="55"/>
        <v>-</v>
      </c>
      <c r="AV81" s="130" t="str">
        <f t="shared" si="146"/>
        <v>-</v>
      </c>
      <c r="AW81" s="131" t="str">
        <f t="shared" si="147"/>
        <v>-</v>
      </c>
      <c r="AX81" s="130" t="str">
        <f t="shared" si="148"/>
        <v>-</v>
      </c>
      <c r="AY81" s="128" t="str">
        <f t="shared" si="149"/>
        <v>-</v>
      </c>
      <c r="AZ81" s="133" t="str">
        <f t="shared" si="150"/>
        <v>-</v>
      </c>
      <c r="BA81" s="134" t="str">
        <f t="shared" si="151"/>
        <v>-</v>
      </c>
      <c r="BB81" s="125" t="str">
        <f t="shared" si="35"/>
        <v>Niet van toepassing</v>
      </c>
      <c r="BC81" s="140" t="e">
        <f t="shared" si="56"/>
        <v>#VALUE!</v>
      </c>
      <c r="BD81" s="130" t="e">
        <f t="shared" si="36"/>
        <v>#VALUE!</v>
      </c>
      <c r="BE81" s="131" t="e">
        <f t="shared" si="37"/>
        <v>#VALUE!</v>
      </c>
      <c r="BF81" s="130" t="e">
        <f t="shared" si="38"/>
        <v>#VALUE!</v>
      </c>
      <c r="BG81" s="143" t="str">
        <f t="shared" si="57"/>
        <v>Niet van toepassing</v>
      </c>
      <c r="BH81" s="133" t="e">
        <f t="shared" si="39"/>
        <v>#VALUE!</v>
      </c>
      <c r="BI81" s="134" t="e">
        <f t="shared" si="40"/>
        <v>#VALUE!</v>
      </c>
      <c r="BJ81" s="125" t="str">
        <f t="shared" si="154"/>
        <v>Niet van toepassing</v>
      </c>
      <c r="BK81" s="124" t="str">
        <f t="shared" si="154"/>
        <v>Niet van toepassing</v>
      </c>
      <c r="BL81" s="130"/>
      <c r="BM81" s="131"/>
      <c r="BN81" s="130">
        <f t="shared" si="42"/>
        <v>1</v>
      </c>
      <c r="BO81" s="133">
        <f t="shared" si="43"/>
        <v>1</v>
      </c>
      <c r="BP81" s="133">
        <f t="shared" si="44"/>
        <v>0</v>
      </c>
      <c r="BQ81" s="134">
        <f t="shared" si="60"/>
        <v>0</v>
      </c>
    </row>
    <row r="82" spans="1:69" x14ac:dyDescent="0.25">
      <c r="A82" t="s">
        <v>215</v>
      </c>
      <c r="B82" t="s">
        <v>384</v>
      </c>
      <c r="E82" s="152" t="str">
        <f>VLOOKUP(A82,Kleurtabel!$A$2:$F$822,6,FALSE)</f>
        <v>#00000000</v>
      </c>
      <c r="F82" s="125">
        <f t="shared" si="152"/>
        <v>16</v>
      </c>
      <c r="G82" s="124">
        <f t="shared" si="152"/>
        <v>17</v>
      </c>
      <c r="H82" s="130">
        <f t="shared" si="45"/>
        <v>2.8029010331479984</v>
      </c>
      <c r="I82" s="131">
        <f t="shared" si="46"/>
        <v>1.8426936722320673E-2</v>
      </c>
      <c r="J82" s="130">
        <f t="shared" si="1"/>
        <v>16.492422502470639</v>
      </c>
      <c r="K82" s="133">
        <f t="shared" si="120"/>
        <v>16.495222757669755</v>
      </c>
      <c r="L82" s="133">
        <f t="shared" si="121"/>
        <v>0.30398223005437414</v>
      </c>
      <c r="M82" s="134">
        <f t="shared" si="47"/>
        <v>1.842850105877061E-2</v>
      </c>
      <c r="N82" s="125">
        <f t="shared" si="153"/>
        <v>20</v>
      </c>
      <c r="O82" s="124">
        <f t="shared" si="153"/>
        <v>21</v>
      </c>
      <c r="P82" s="130">
        <f t="shared" si="48"/>
        <v>3.0201273556387069</v>
      </c>
      <c r="Q82" s="131">
        <f t="shared" si="49"/>
        <v>1.4829837133566006E-2</v>
      </c>
      <c r="R82" s="132">
        <f t="shared" si="50"/>
        <v>20.493901531919196</v>
      </c>
      <c r="S82" s="132">
        <f t="shared" si="122"/>
        <v>20.496155206937743</v>
      </c>
      <c r="T82" s="133">
        <f t="shared" si="123"/>
        <v>0.30397135608439629</v>
      </c>
      <c r="U82" s="134">
        <f t="shared" si="51"/>
        <v>1.4830652530456298E-2</v>
      </c>
      <c r="V82" s="155">
        <f t="shared" si="124"/>
        <v>0</v>
      </c>
      <c r="W82" s="140" t="e">
        <f t="shared" si="52"/>
        <v>#NUM!</v>
      </c>
      <c r="X82" s="130" t="e">
        <f t="shared" si="125"/>
        <v>#NUM!</v>
      </c>
      <c r="Y82" s="131" t="e">
        <f t="shared" si="126"/>
        <v>#DIV/0!</v>
      </c>
      <c r="Z82" s="130" t="e">
        <f t="shared" si="127"/>
        <v>#NUM!</v>
      </c>
      <c r="AA82" s="128">
        <f t="shared" si="128"/>
        <v>0</v>
      </c>
      <c r="AB82" s="133" t="e">
        <f t="shared" si="129"/>
        <v>#DIV/0!</v>
      </c>
      <c r="AC82" s="134" t="e">
        <f t="shared" si="130"/>
        <v>#DIV/0!</v>
      </c>
      <c r="AD82" s="125" t="str">
        <f t="shared" si="131"/>
        <v>-</v>
      </c>
      <c r="AE82" s="140" t="str">
        <f t="shared" si="53"/>
        <v>-</v>
      </c>
      <c r="AF82" s="130" t="str">
        <f t="shared" si="132"/>
        <v>-</v>
      </c>
      <c r="AG82" s="131" t="str">
        <f t="shared" si="133"/>
        <v>-</v>
      </c>
      <c r="AH82" s="130" t="str">
        <f t="shared" si="134"/>
        <v>-</v>
      </c>
      <c r="AI82" s="128" t="str">
        <f t="shared" si="135"/>
        <v>-</v>
      </c>
      <c r="AJ82" s="133" t="str">
        <f t="shared" si="136"/>
        <v>-</v>
      </c>
      <c r="AK82" s="134" t="str">
        <f t="shared" si="137"/>
        <v>-</v>
      </c>
      <c r="AL82" s="125" t="str">
        <f t="shared" si="138"/>
        <v>-</v>
      </c>
      <c r="AM82" s="140" t="str">
        <f t="shared" si="54"/>
        <v>-</v>
      </c>
      <c r="AN82" s="130" t="str">
        <f t="shared" si="139"/>
        <v>-</v>
      </c>
      <c r="AO82" s="131" t="str">
        <f t="shared" si="140"/>
        <v>-</v>
      </c>
      <c r="AP82" s="130" t="str">
        <f t="shared" si="141"/>
        <v>-</v>
      </c>
      <c r="AQ82" s="128" t="str">
        <f t="shared" si="142"/>
        <v>-</v>
      </c>
      <c r="AR82" s="133" t="str">
        <f t="shared" si="143"/>
        <v>-</v>
      </c>
      <c r="AS82" s="134" t="str">
        <f t="shared" si="144"/>
        <v>-</v>
      </c>
      <c r="AT82" s="125" t="str">
        <f t="shared" si="145"/>
        <v>-</v>
      </c>
      <c r="AU82" s="140" t="str">
        <f t="shared" si="55"/>
        <v>-</v>
      </c>
      <c r="AV82" s="130" t="str">
        <f t="shared" si="146"/>
        <v>-</v>
      </c>
      <c r="AW82" s="131" t="str">
        <f t="shared" si="147"/>
        <v>-</v>
      </c>
      <c r="AX82" s="130" t="str">
        <f t="shared" si="148"/>
        <v>-</v>
      </c>
      <c r="AY82" s="128" t="str">
        <f t="shared" si="149"/>
        <v>-</v>
      </c>
      <c r="AZ82" s="133" t="str">
        <f t="shared" si="150"/>
        <v>-</v>
      </c>
      <c r="BA82" s="134" t="str">
        <f t="shared" si="151"/>
        <v>-</v>
      </c>
      <c r="BB82" s="125" t="str">
        <f t="shared" si="35"/>
        <v>-</v>
      </c>
      <c r="BC82" s="140" t="str">
        <f t="shared" si="56"/>
        <v>-</v>
      </c>
      <c r="BD82" s="130" t="str">
        <f t="shared" si="36"/>
        <v>-</v>
      </c>
      <c r="BE82" s="131" t="str">
        <f t="shared" si="37"/>
        <v>-</v>
      </c>
      <c r="BF82" s="130" t="str">
        <f t="shared" si="38"/>
        <v>-</v>
      </c>
      <c r="BG82" s="143" t="str">
        <f t="shared" si="57"/>
        <v>-</v>
      </c>
      <c r="BH82" s="133" t="str">
        <f t="shared" si="39"/>
        <v>-</v>
      </c>
      <c r="BI82" s="134" t="str">
        <f t="shared" si="40"/>
        <v>-</v>
      </c>
      <c r="BJ82" s="125">
        <f t="shared" si="154"/>
        <v>103</v>
      </c>
      <c r="BK82" s="124">
        <f t="shared" si="154"/>
        <v>103</v>
      </c>
      <c r="BL82" s="130">
        <f t="shared" ref="BL82:BL83" si="207">(LN(BK82)+LN(BJ82))/2</f>
        <v>4.6347289882296359</v>
      </c>
      <c r="BM82" s="131">
        <f t="shared" ref="BM82:BM83" si="208">(LN(BK82)-LN(BJ82))/(2*1.645)</f>
        <v>0</v>
      </c>
      <c r="BN82" s="130">
        <f t="shared" si="42"/>
        <v>103.00000000000001</v>
      </c>
      <c r="BO82" s="133">
        <f t="shared" si="43"/>
        <v>103.00000000000001</v>
      </c>
      <c r="BP82" s="133">
        <f t="shared" si="44"/>
        <v>0</v>
      </c>
      <c r="BQ82" s="134">
        <f t="shared" si="60"/>
        <v>0</v>
      </c>
    </row>
    <row r="83" spans="1:69" ht="15.75" thickBot="1" x14ac:dyDescent="0.3">
      <c r="A83" t="s">
        <v>218</v>
      </c>
      <c r="B83" t="s">
        <v>384</v>
      </c>
      <c r="E83" s="153" t="str">
        <f>VLOOKUP(A83,Kleurtabel!$A$2:$F$822,6,FALSE)</f>
        <v>#00000000</v>
      </c>
      <c r="F83" s="126">
        <f t="shared" si="152"/>
        <v>19</v>
      </c>
      <c r="G83" s="127">
        <f t="shared" si="152"/>
        <v>20</v>
      </c>
      <c r="H83" s="135">
        <f t="shared" si="45"/>
        <v>2.9700856263602153</v>
      </c>
      <c r="I83" s="136">
        <f t="shared" si="46"/>
        <v>1.5590666987097445E-2</v>
      </c>
      <c r="J83" s="130">
        <f t="shared" si="1"/>
        <v>19.493588689617919</v>
      </c>
      <c r="K83" s="138">
        <f t="shared" si="120"/>
        <v>19.495957976141646</v>
      </c>
      <c r="L83" s="138">
        <f t="shared" si="121"/>
        <v>0.30397345983682589</v>
      </c>
      <c r="M83" s="139">
        <f t="shared" si="47"/>
        <v>1.5591614436634309E-2</v>
      </c>
      <c r="N83" s="126">
        <f t="shared" si="153"/>
        <v>19</v>
      </c>
      <c r="O83" s="127">
        <f t="shared" si="153"/>
        <v>20</v>
      </c>
      <c r="P83" s="135">
        <f t="shared" si="48"/>
        <v>2.9700856263602153</v>
      </c>
      <c r="Q83" s="136">
        <f t="shared" si="49"/>
        <v>1.5590666987097445E-2</v>
      </c>
      <c r="R83" s="137">
        <f t="shared" si="50"/>
        <v>19.493588689617919</v>
      </c>
      <c r="S83" s="137">
        <f t="shared" si="122"/>
        <v>19.495957976141646</v>
      </c>
      <c r="T83" s="138">
        <f t="shared" si="123"/>
        <v>0.30397345983682589</v>
      </c>
      <c r="U83" s="139">
        <f t="shared" si="51"/>
        <v>1.5591614436634309E-2</v>
      </c>
      <c r="V83" s="156">
        <f t="shared" si="124"/>
        <v>30.95</v>
      </c>
      <c r="W83" s="141">
        <f t="shared" si="52"/>
        <v>33.072180669348825</v>
      </c>
      <c r="X83" s="135">
        <f t="shared" si="125"/>
        <v>3.4655327324823864</v>
      </c>
      <c r="Y83" s="136">
        <f t="shared" si="126"/>
        <v>2.015789261506451E-2</v>
      </c>
      <c r="Z83" s="135">
        <f t="shared" si="127"/>
        <v>31.993499210251233</v>
      </c>
      <c r="AA83" s="129">
        <f t="shared" si="128"/>
        <v>32</v>
      </c>
      <c r="AB83" s="138">
        <f t="shared" si="129"/>
        <v>0.64511809699671463</v>
      </c>
      <c r="AC83" s="139">
        <f t="shared" si="130"/>
        <v>2.0159940531147332E-2</v>
      </c>
      <c r="AD83" s="126" t="str">
        <f t="shared" si="131"/>
        <v>-</v>
      </c>
      <c r="AE83" s="141" t="str">
        <f t="shared" si="53"/>
        <v>-</v>
      </c>
      <c r="AF83" s="135" t="str">
        <f t="shared" si="132"/>
        <v>-</v>
      </c>
      <c r="AG83" s="136" t="str">
        <f t="shared" si="133"/>
        <v>-</v>
      </c>
      <c r="AH83" s="135" t="str">
        <f t="shared" si="134"/>
        <v>-</v>
      </c>
      <c r="AI83" s="129" t="str">
        <f t="shared" si="135"/>
        <v>-</v>
      </c>
      <c r="AJ83" s="138" t="str">
        <f t="shared" si="136"/>
        <v>-</v>
      </c>
      <c r="AK83" s="139" t="str">
        <f t="shared" si="137"/>
        <v>-</v>
      </c>
      <c r="AL83" s="126" t="str">
        <f t="shared" si="138"/>
        <v>-</v>
      </c>
      <c r="AM83" s="141" t="str">
        <f t="shared" si="54"/>
        <v>-</v>
      </c>
      <c r="AN83" s="135" t="str">
        <f t="shared" si="139"/>
        <v>-</v>
      </c>
      <c r="AO83" s="136" t="str">
        <f t="shared" si="140"/>
        <v>-</v>
      </c>
      <c r="AP83" s="135" t="str">
        <f t="shared" si="141"/>
        <v>-</v>
      </c>
      <c r="AQ83" s="129" t="str">
        <f t="shared" si="142"/>
        <v>-</v>
      </c>
      <c r="AR83" s="138" t="str">
        <f t="shared" si="143"/>
        <v>-</v>
      </c>
      <c r="AS83" s="139" t="str">
        <f t="shared" si="144"/>
        <v>-</v>
      </c>
      <c r="AT83" s="126" t="str">
        <f t="shared" si="145"/>
        <v>-</v>
      </c>
      <c r="AU83" s="141" t="str">
        <f t="shared" si="55"/>
        <v>-</v>
      </c>
      <c r="AV83" s="135" t="str">
        <f t="shared" si="146"/>
        <v>-</v>
      </c>
      <c r="AW83" s="136" t="str">
        <f t="shared" si="147"/>
        <v>-</v>
      </c>
      <c r="AX83" s="135" t="str">
        <f t="shared" si="148"/>
        <v>-</v>
      </c>
      <c r="AY83" s="129" t="str">
        <f t="shared" si="149"/>
        <v>-</v>
      </c>
      <c r="AZ83" s="138" t="str">
        <f t="shared" si="150"/>
        <v>-</v>
      </c>
      <c r="BA83" s="139" t="str">
        <f t="shared" si="151"/>
        <v>-</v>
      </c>
      <c r="BB83" s="126">
        <f t="shared" si="35"/>
        <v>45</v>
      </c>
      <c r="BC83" s="141">
        <f t="shared" si="56"/>
        <v>44.999999999999993</v>
      </c>
      <c r="BD83" s="135">
        <f t="shared" si="36"/>
        <v>3.8066624897703196</v>
      </c>
      <c r="BE83" s="136">
        <f t="shared" si="37"/>
        <v>0</v>
      </c>
      <c r="BF83" s="135">
        <f t="shared" si="38"/>
        <v>44.999999999999993</v>
      </c>
      <c r="BG83" s="143">
        <f t="shared" si="57"/>
        <v>45</v>
      </c>
      <c r="BH83" s="138">
        <f t="shared" si="39"/>
        <v>0</v>
      </c>
      <c r="BI83" s="139">
        <f t="shared" si="40"/>
        <v>0</v>
      </c>
      <c r="BJ83" s="126">
        <f t="shared" si="154"/>
        <v>69</v>
      </c>
      <c r="BK83" s="127">
        <f t="shared" si="154"/>
        <v>103</v>
      </c>
      <c r="BL83" s="135">
        <f t="shared" si="207"/>
        <v>4.4344177464134482</v>
      </c>
      <c r="BM83" s="136">
        <f t="shared" si="208"/>
        <v>0.12176975186394412</v>
      </c>
      <c r="BN83" s="135">
        <f t="shared" si="42"/>
        <v>84.303024856763059</v>
      </c>
      <c r="BO83" s="138">
        <f t="shared" si="43"/>
        <v>84.930364762906208</v>
      </c>
      <c r="BP83" s="138">
        <f t="shared" si="44"/>
        <v>10.380405412804677</v>
      </c>
      <c r="BQ83" s="139">
        <f t="shared" si="60"/>
        <v>0.12222254598555987</v>
      </c>
    </row>
  </sheetData>
  <conditionalFormatting sqref="E12:E83">
    <cfRule type="cellIs" dxfId="1" priority="1" operator="equal">
      <formula>"#00000000"</formula>
    </cfRule>
  </conditionalFormatting>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E8893-A848-4E14-BB9C-96D88C32552A}">
  <dimension ref="A2:BQ15"/>
  <sheetViews>
    <sheetView workbookViewId="0">
      <selection activeCell="N20" sqref="N20"/>
    </sheetView>
  </sheetViews>
  <sheetFormatPr defaultRowHeight="15" x14ac:dyDescent="0.25"/>
  <cols>
    <col min="1" max="2" width="16.42578125" customWidth="1"/>
    <col min="5" max="5" width="19.42578125" bestFit="1" customWidth="1"/>
    <col min="10" max="10" width="8.7109375" customWidth="1"/>
    <col min="26" max="26" width="8.7109375" customWidth="1"/>
    <col min="34" max="34" width="8.7109375" customWidth="1"/>
    <col min="50" max="50" width="8.7109375" customWidth="1"/>
    <col min="54" max="54" width="10.85546875" customWidth="1"/>
    <col min="58" max="58" width="8.7109375" customWidth="1"/>
    <col min="66" max="66" width="11.5703125" bestFit="1" customWidth="1"/>
  </cols>
  <sheetData>
    <row r="2" spans="1:69" x14ac:dyDescent="0.25">
      <c r="A2" s="121" t="s">
        <v>281</v>
      </c>
      <c r="B2" s="121"/>
      <c r="H2" s="161" t="s">
        <v>387</v>
      </c>
    </row>
    <row r="4" spans="1:69" x14ac:dyDescent="0.25">
      <c r="A4" s="121" t="s">
        <v>274</v>
      </c>
      <c r="B4" s="121"/>
    </row>
    <row r="5" spans="1:69" x14ac:dyDescent="0.25">
      <c r="A5" s="124" t="s">
        <v>275</v>
      </c>
      <c r="B5" s="124"/>
      <c r="C5" s="124"/>
      <c r="D5" s="124"/>
      <c r="E5" s="124"/>
    </row>
    <row r="6" spans="1:69" x14ac:dyDescent="0.25">
      <c r="A6" s="123" t="s">
        <v>276</v>
      </c>
      <c r="B6" s="123"/>
      <c r="C6" s="123"/>
      <c r="D6" s="123"/>
      <c r="E6" s="123"/>
    </row>
    <row r="7" spans="1:69" ht="15.75" thickBot="1" x14ac:dyDescent="0.3">
      <c r="A7" s="142" t="s">
        <v>278</v>
      </c>
      <c r="B7" s="142"/>
      <c r="C7" s="142"/>
      <c r="D7" s="142"/>
      <c r="E7" s="142"/>
    </row>
    <row r="8" spans="1:69" ht="45.75" thickBot="1" x14ac:dyDescent="0.3">
      <c r="A8" t="s">
        <v>6</v>
      </c>
      <c r="E8" s="151"/>
      <c r="F8" s="110" t="s">
        <v>267</v>
      </c>
      <c r="G8" s="111"/>
      <c r="H8" s="111"/>
      <c r="I8" s="111"/>
      <c r="J8" s="111"/>
      <c r="K8" s="111"/>
      <c r="L8" s="111"/>
      <c r="M8" s="111"/>
      <c r="N8" s="110" t="s">
        <v>260</v>
      </c>
      <c r="O8" s="111"/>
      <c r="P8" s="111"/>
      <c r="Q8" s="111"/>
      <c r="R8" s="111"/>
      <c r="S8" s="111"/>
      <c r="T8" s="111"/>
      <c r="U8" s="111"/>
      <c r="V8" s="110" t="s">
        <v>269</v>
      </c>
      <c r="W8" s="111"/>
      <c r="X8" s="111"/>
      <c r="Y8" s="111"/>
      <c r="Z8" s="111"/>
      <c r="AA8" s="111"/>
      <c r="AB8" s="111"/>
      <c r="AC8" s="111"/>
      <c r="AD8" s="110" t="s">
        <v>270</v>
      </c>
      <c r="AE8" s="111"/>
      <c r="AF8" s="111"/>
      <c r="AG8" s="111"/>
      <c r="AH8" s="111"/>
      <c r="AI8" s="111"/>
      <c r="AJ8" s="111"/>
      <c r="AK8" s="111"/>
      <c r="AL8" s="110" t="s">
        <v>271</v>
      </c>
      <c r="AM8" s="111"/>
      <c r="AN8" s="111"/>
      <c r="AO8" s="111"/>
      <c r="AP8" s="111"/>
      <c r="AQ8" s="111"/>
      <c r="AR8" s="111"/>
      <c r="AS8" s="111"/>
      <c r="AT8" s="110" t="s">
        <v>272</v>
      </c>
      <c r="AU8" s="111"/>
      <c r="AV8" s="111"/>
      <c r="AW8" s="111"/>
      <c r="AX8" s="111"/>
      <c r="AY8" s="111"/>
      <c r="AZ8" s="111"/>
      <c r="BA8" s="111"/>
      <c r="BB8" s="110" t="s">
        <v>277</v>
      </c>
      <c r="BC8" s="111"/>
      <c r="BD8" s="111"/>
      <c r="BE8" s="111"/>
      <c r="BF8" s="111" t="s">
        <v>266</v>
      </c>
      <c r="BG8" s="111"/>
      <c r="BH8" s="111"/>
      <c r="BI8" s="111"/>
      <c r="BJ8" s="110" t="s">
        <v>273</v>
      </c>
      <c r="BK8" s="111"/>
      <c r="BL8" s="111"/>
      <c r="BM8" s="111"/>
      <c r="BN8" s="111"/>
      <c r="BO8" s="111"/>
      <c r="BP8" s="111"/>
      <c r="BQ8" s="122"/>
    </row>
    <row r="9" spans="1:69" ht="30" x14ac:dyDescent="0.25">
      <c r="E9" s="151" t="s">
        <v>359</v>
      </c>
      <c r="F9" s="145" t="s">
        <v>282</v>
      </c>
      <c r="G9" s="146" t="s">
        <v>283</v>
      </c>
      <c r="H9" s="114" t="s">
        <v>268</v>
      </c>
      <c r="I9" s="115" t="s">
        <v>280</v>
      </c>
      <c r="J9" s="114" t="s">
        <v>279</v>
      </c>
      <c r="K9" s="116" t="s">
        <v>263</v>
      </c>
      <c r="L9" s="116" t="s">
        <v>264</v>
      </c>
      <c r="M9" s="117" t="s">
        <v>265</v>
      </c>
      <c r="N9" s="145" t="s">
        <v>282</v>
      </c>
      <c r="O9" s="146" t="s">
        <v>283</v>
      </c>
      <c r="P9" s="114" t="s">
        <v>261</v>
      </c>
      <c r="Q9" s="115" t="s">
        <v>280</v>
      </c>
      <c r="R9" s="114" t="s">
        <v>279</v>
      </c>
      <c r="S9" s="116" t="s">
        <v>263</v>
      </c>
      <c r="T9" s="116" t="s">
        <v>264</v>
      </c>
      <c r="U9" s="117" t="s">
        <v>265</v>
      </c>
      <c r="V9" s="145" t="s">
        <v>282</v>
      </c>
      <c r="W9" s="146" t="s">
        <v>283</v>
      </c>
      <c r="X9" s="114" t="s">
        <v>261</v>
      </c>
      <c r="Y9" s="115" t="s">
        <v>280</v>
      </c>
      <c r="Z9" s="114" t="s">
        <v>279</v>
      </c>
      <c r="AA9" s="116" t="s">
        <v>263</v>
      </c>
      <c r="AB9" s="116" t="s">
        <v>264</v>
      </c>
      <c r="AC9" s="117" t="s">
        <v>265</v>
      </c>
      <c r="AD9" s="145" t="s">
        <v>282</v>
      </c>
      <c r="AE9" s="146" t="s">
        <v>283</v>
      </c>
      <c r="AF9" s="114" t="s">
        <v>261</v>
      </c>
      <c r="AG9" s="115" t="s">
        <v>280</v>
      </c>
      <c r="AH9" s="114" t="s">
        <v>279</v>
      </c>
      <c r="AI9" s="116" t="s">
        <v>263</v>
      </c>
      <c r="AJ9" s="116" t="s">
        <v>264</v>
      </c>
      <c r="AK9" s="117" t="s">
        <v>265</v>
      </c>
      <c r="AL9" s="145" t="s">
        <v>282</v>
      </c>
      <c r="AM9" s="146" t="s">
        <v>283</v>
      </c>
      <c r="AN9" s="114" t="s">
        <v>261</v>
      </c>
      <c r="AO9" s="115" t="s">
        <v>280</v>
      </c>
      <c r="AP9" s="114" t="s">
        <v>279</v>
      </c>
      <c r="AQ9" s="116" t="s">
        <v>263</v>
      </c>
      <c r="AR9" s="116" t="s">
        <v>264</v>
      </c>
      <c r="AS9" s="117" t="s">
        <v>265</v>
      </c>
      <c r="AT9" s="145" t="s">
        <v>282</v>
      </c>
      <c r="AU9" s="146" t="s">
        <v>283</v>
      </c>
      <c r="AV9" s="114" t="s">
        <v>261</v>
      </c>
      <c r="AW9" s="115" t="s">
        <v>280</v>
      </c>
      <c r="AX9" s="114" t="s">
        <v>279</v>
      </c>
      <c r="AY9" s="116" t="s">
        <v>263</v>
      </c>
      <c r="AZ9" s="116" t="s">
        <v>264</v>
      </c>
      <c r="BA9" s="117" t="s">
        <v>265</v>
      </c>
      <c r="BB9" s="145" t="s">
        <v>282</v>
      </c>
      <c r="BC9" s="146" t="s">
        <v>283</v>
      </c>
      <c r="BD9" s="114" t="s">
        <v>261</v>
      </c>
      <c r="BE9" s="115" t="s">
        <v>280</v>
      </c>
      <c r="BF9" s="114" t="s">
        <v>279</v>
      </c>
      <c r="BG9" s="116" t="s">
        <v>263</v>
      </c>
      <c r="BH9" s="116" t="s">
        <v>264</v>
      </c>
      <c r="BI9" s="117" t="s">
        <v>265</v>
      </c>
      <c r="BJ9" s="145" t="s">
        <v>282</v>
      </c>
      <c r="BK9" s="146" t="s">
        <v>283</v>
      </c>
      <c r="BL9" s="114" t="s">
        <v>268</v>
      </c>
      <c r="BM9" s="115" t="s">
        <v>280</v>
      </c>
      <c r="BN9" s="114" t="s">
        <v>279</v>
      </c>
      <c r="BO9" s="116" t="s">
        <v>263</v>
      </c>
      <c r="BP9" s="116" t="s">
        <v>264</v>
      </c>
      <c r="BQ9" s="117" t="s">
        <v>265</v>
      </c>
    </row>
    <row r="10" spans="1:69" ht="15.75" thickBot="1" x14ac:dyDescent="0.3">
      <c r="C10" t="s">
        <v>262</v>
      </c>
      <c r="E10" s="153"/>
      <c r="F10" s="112">
        <v>7</v>
      </c>
      <c r="G10" s="113">
        <v>8</v>
      </c>
      <c r="H10" s="118" t="s">
        <v>56</v>
      </c>
      <c r="I10" s="119" t="s">
        <v>56</v>
      </c>
      <c r="J10" s="144"/>
      <c r="K10" s="113" t="s">
        <v>56</v>
      </c>
      <c r="L10" s="113" t="s">
        <v>56</v>
      </c>
      <c r="M10" s="120" t="s">
        <v>56</v>
      </c>
      <c r="N10" s="112">
        <v>9</v>
      </c>
      <c r="O10" s="113">
        <v>10</v>
      </c>
      <c r="P10" s="118" t="s">
        <v>56</v>
      </c>
      <c r="Q10" s="119" t="s">
        <v>56</v>
      </c>
      <c r="R10" s="113"/>
      <c r="S10" s="113" t="s">
        <v>56</v>
      </c>
      <c r="T10" s="113" t="s">
        <v>56</v>
      </c>
      <c r="U10" s="120" t="s">
        <v>56</v>
      </c>
      <c r="V10" s="112">
        <v>14</v>
      </c>
      <c r="W10" s="113"/>
      <c r="X10" s="118" t="s">
        <v>56</v>
      </c>
      <c r="Y10" s="119" t="s">
        <v>56</v>
      </c>
      <c r="Z10" s="144"/>
      <c r="AA10" s="113">
        <v>15</v>
      </c>
      <c r="AB10" s="113" t="s">
        <v>56</v>
      </c>
      <c r="AC10" s="120" t="s">
        <v>56</v>
      </c>
      <c r="AD10" s="112">
        <v>21</v>
      </c>
      <c r="AE10" s="113"/>
      <c r="AF10" s="118" t="s">
        <v>56</v>
      </c>
      <c r="AG10" s="119" t="s">
        <v>56</v>
      </c>
      <c r="AH10" s="144"/>
      <c r="AI10" s="113">
        <v>22</v>
      </c>
      <c r="AJ10" s="113" t="s">
        <v>56</v>
      </c>
      <c r="AK10" s="120" t="s">
        <v>56</v>
      </c>
      <c r="AL10" s="112">
        <v>23</v>
      </c>
      <c r="AM10" s="113"/>
      <c r="AN10" s="118" t="s">
        <v>56</v>
      </c>
      <c r="AO10" s="119" t="s">
        <v>56</v>
      </c>
      <c r="AP10" s="144"/>
      <c r="AQ10" s="113">
        <v>24</v>
      </c>
      <c r="AR10" s="113" t="s">
        <v>56</v>
      </c>
      <c r="AS10" s="120" t="s">
        <v>56</v>
      </c>
      <c r="AT10" s="112">
        <v>25</v>
      </c>
      <c r="AU10" s="113"/>
      <c r="AV10" s="118" t="s">
        <v>56</v>
      </c>
      <c r="AW10" s="119" t="s">
        <v>56</v>
      </c>
      <c r="AX10" s="144"/>
      <c r="AY10" s="113">
        <v>26</v>
      </c>
      <c r="AZ10" s="113" t="s">
        <v>56</v>
      </c>
      <c r="BA10" s="120" t="s">
        <v>56</v>
      </c>
      <c r="BB10" s="112">
        <v>17</v>
      </c>
      <c r="BC10" s="113"/>
      <c r="BD10" s="118" t="s">
        <v>56</v>
      </c>
      <c r="BE10" s="119" t="s">
        <v>56</v>
      </c>
      <c r="BF10" s="144"/>
      <c r="BG10" s="113" t="s">
        <v>320</v>
      </c>
      <c r="BH10" s="113" t="s">
        <v>56</v>
      </c>
      <c r="BI10" s="120" t="s">
        <v>56</v>
      </c>
      <c r="BJ10" s="112">
        <v>27</v>
      </c>
      <c r="BK10" s="113">
        <v>28</v>
      </c>
      <c r="BL10" s="118" t="s">
        <v>56</v>
      </c>
      <c r="BM10" s="119" t="s">
        <v>56</v>
      </c>
      <c r="BN10" s="144"/>
      <c r="BO10" s="113" t="s">
        <v>56</v>
      </c>
      <c r="BP10" s="113" t="s">
        <v>56</v>
      </c>
      <c r="BQ10" s="120" t="s">
        <v>56</v>
      </c>
    </row>
    <row r="11" spans="1:69" ht="45.75" thickBot="1" x14ac:dyDescent="0.3">
      <c r="A11" t="s">
        <v>349</v>
      </c>
      <c r="B11" t="s">
        <v>385</v>
      </c>
      <c r="C11" t="s">
        <v>350</v>
      </c>
      <c r="D11" t="s">
        <v>364</v>
      </c>
      <c r="E11" s="154" t="s">
        <v>358</v>
      </c>
      <c r="F11" s="145" t="s">
        <v>284</v>
      </c>
      <c r="G11" s="146" t="s">
        <v>285</v>
      </c>
      <c r="H11" s="114" t="s">
        <v>333</v>
      </c>
      <c r="I11" s="115" t="s">
        <v>341</v>
      </c>
      <c r="J11" s="114" t="s">
        <v>286</v>
      </c>
      <c r="K11" s="116" t="s">
        <v>287</v>
      </c>
      <c r="L11" s="116" t="s">
        <v>288</v>
      </c>
      <c r="M11" s="117" t="s">
        <v>289</v>
      </c>
      <c r="N11" s="145" t="s">
        <v>290</v>
      </c>
      <c r="O11" s="146" t="s">
        <v>291</v>
      </c>
      <c r="P11" s="114" t="s">
        <v>334</v>
      </c>
      <c r="Q11" s="115" t="s">
        <v>342</v>
      </c>
      <c r="R11" s="114" t="s">
        <v>292</v>
      </c>
      <c r="S11" s="116" t="s">
        <v>293</v>
      </c>
      <c r="T11" s="116" t="s">
        <v>294</v>
      </c>
      <c r="U11" s="117" t="s">
        <v>295</v>
      </c>
      <c r="V11" s="145" t="s">
        <v>296</v>
      </c>
      <c r="W11" s="146" t="s">
        <v>297</v>
      </c>
      <c r="X11" s="114" t="s">
        <v>335</v>
      </c>
      <c r="Y11" s="115" t="s">
        <v>343</v>
      </c>
      <c r="Z11" s="114" t="s">
        <v>298</v>
      </c>
      <c r="AA11" s="116" t="s">
        <v>299</v>
      </c>
      <c r="AB11" s="116" t="s">
        <v>300</v>
      </c>
      <c r="AC11" s="117" t="s">
        <v>301</v>
      </c>
      <c r="AD11" s="145" t="s">
        <v>302</v>
      </c>
      <c r="AE11" s="146" t="s">
        <v>303</v>
      </c>
      <c r="AF11" s="114" t="s">
        <v>336</v>
      </c>
      <c r="AG11" s="115" t="s">
        <v>344</v>
      </c>
      <c r="AH11" s="114" t="s">
        <v>304</v>
      </c>
      <c r="AI11" s="116" t="s">
        <v>305</v>
      </c>
      <c r="AJ11" s="116" t="s">
        <v>306</v>
      </c>
      <c r="AK11" s="117" t="s">
        <v>307</v>
      </c>
      <c r="AL11" s="145" t="s">
        <v>308</v>
      </c>
      <c r="AM11" s="146" t="s">
        <v>309</v>
      </c>
      <c r="AN11" s="114" t="s">
        <v>337</v>
      </c>
      <c r="AO11" s="115" t="s">
        <v>345</v>
      </c>
      <c r="AP11" s="114" t="s">
        <v>310</v>
      </c>
      <c r="AQ11" s="116" t="s">
        <v>311</v>
      </c>
      <c r="AR11" s="116" t="s">
        <v>312</v>
      </c>
      <c r="AS11" s="117" t="s">
        <v>313</v>
      </c>
      <c r="AT11" s="145" t="s">
        <v>314</v>
      </c>
      <c r="AU11" s="146" t="s">
        <v>315</v>
      </c>
      <c r="AV11" s="114" t="s">
        <v>338</v>
      </c>
      <c r="AW11" s="115" t="s">
        <v>346</v>
      </c>
      <c r="AX11" s="114" t="s">
        <v>316</v>
      </c>
      <c r="AY11" s="116" t="s">
        <v>317</v>
      </c>
      <c r="AZ11" s="116" t="s">
        <v>318</v>
      </c>
      <c r="BA11" s="117" t="s">
        <v>319</v>
      </c>
      <c r="BB11" s="145" t="s">
        <v>321</v>
      </c>
      <c r="BC11" s="146" t="s">
        <v>322</v>
      </c>
      <c r="BD11" s="114" t="s">
        <v>339</v>
      </c>
      <c r="BE11" s="115" t="s">
        <v>347</v>
      </c>
      <c r="BF11" s="114" t="s">
        <v>323</v>
      </c>
      <c r="BG11" s="116" t="s">
        <v>324</v>
      </c>
      <c r="BH11" s="116" t="s">
        <v>325</v>
      </c>
      <c r="BI11" s="117" t="s">
        <v>326</v>
      </c>
      <c r="BJ11" s="145" t="s">
        <v>327</v>
      </c>
      <c r="BK11" s="146" t="s">
        <v>328</v>
      </c>
      <c r="BL11" s="114" t="s">
        <v>340</v>
      </c>
      <c r="BM11" s="115" t="s">
        <v>348</v>
      </c>
      <c r="BN11" s="114" t="s">
        <v>329</v>
      </c>
      <c r="BO11" s="116" t="s">
        <v>330</v>
      </c>
      <c r="BP11" s="116" t="s">
        <v>331</v>
      </c>
      <c r="BQ11" s="117" t="s">
        <v>332</v>
      </c>
    </row>
    <row r="12" spans="1:69" x14ac:dyDescent="0.25">
      <c r="A12" t="s">
        <v>353</v>
      </c>
      <c r="B12" t="s">
        <v>384</v>
      </c>
      <c r="C12" t="s">
        <v>50</v>
      </c>
      <c r="E12">
        <f>VLOOKUP($C12,stochastic_parameters_LN!$A$12:$BQ$83,stochastic_parameters_LN_add_ol!E$10,FALSE)</f>
        <v>0</v>
      </c>
      <c r="F12" s="148">
        <v>17</v>
      </c>
      <c r="G12" s="123">
        <f>VLOOKUP($C12,stochastic_parameters_LN!$A$12:$BQ$83,stochastic_parameters_LN_add_ol!G$10,FALSE)</f>
        <v>18</v>
      </c>
      <c r="H12" s="130">
        <f>VLOOKUP($C12,stochastic_parameters_LN!$A$12:$BQ$83,stochastic_parameters_LN_add_ol!H$10,FALSE)</f>
        <v>19</v>
      </c>
      <c r="I12" s="131">
        <f>VLOOKUP($C12,stochastic_parameters_LN!$A$12:$BQ$83,stochastic_parameters_LN_add_ol!I$10,FALSE)</f>
        <v>2.9174053685313024</v>
      </c>
      <c r="J12" s="130">
        <f>VLOOKUP($C12,stochastic_parameters_LN!$A$12:$BQ$83,stochastic_parameters_LN_add_ol!J$10,FALSE)</f>
        <v>1.6433805857226671E-2</v>
      </c>
      <c r="K12" s="133">
        <f>VLOOKUP($C12,stochastic_parameters_LN!$A$12:$BQ$83,stochastic_parameters_LN_add_ol!K$10,FALSE)</f>
        <v>18.493242008906925</v>
      </c>
      <c r="L12" s="133">
        <f>VLOOKUP($C12,stochastic_parameters_LN!$A$12:$BQ$83,stochastic_parameters_LN_add_ol!L$10,FALSE)</f>
        <v>18.495739412224619</v>
      </c>
      <c r="M12" s="134">
        <f>VLOOKUP($C12,stochastic_parameters_LN!$A$12:$BQ$83,stochastic_parameters_LN_add_ol!M$10,FALSE)</f>
        <v>0.30397591414727615</v>
      </c>
      <c r="N12" s="148">
        <v>19</v>
      </c>
      <c r="O12" s="123">
        <f>VLOOKUP($C12,stochastic_parameters_LN!$A$12:$BQ$83,stochastic_parameters_LN_add_ol!O$10,FALSE)</f>
        <v>20</v>
      </c>
      <c r="P12" s="130">
        <f>VLOOKUP($C12,stochastic_parameters_LN!$A$12:$BQ$83,stochastic_parameters_LN_add_ol!P$10,FALSE)</f>
        <v>21</v>
      </c>
      <c r="Q12" s="131">
        <f>VLOOKUP($C12,stochastic_parameters_LN!$A$12:$BQ$83,stochastic_parameters_LN_add_ol!Q$10,FALSE)</f>
        <v>3.0201273556387069</v>
      </c>
      <c r="R12" s="132">
        <f>VLOOKUP($C12,stochastic_parameters_LN!$A$12:$BQ$83,stochastic_parameters_LN_add_ol!R$10,FALSE)</f>
        <v>1.4829837133566006E-2</v>
      </c>
      <c r="S12" s="132">
        <f>VLOOKUP($C12,stochastic_parameters_LN!$A$12:$BQ$83,stochastic_parameters_LN_add_ol!S$10,FALSE)</f>
        <v>20.493901531919196</v>
      </c>
      <c r="T12" s="133">
        <f>VLOOKUP($C12,stochastic_parameters_LN!$A$12:$BQ$83,stochastic_parameters_LN_add_ol!T$10,FALSE)</f>
        <v>20.496155206937743</v>
      </c>
      <c r="U12" s="134">
        <f>VLOOKUP($C12,stochastic_parameters_LN!$A$12:$BQ$83,stochastic_parameters_LN_add_ol!U$10,FALSE)</f>
        <v>0.30397135608439629</v>
      </c>
      <c r="V12" s="148">
        <f>VLOOKUP($C12,stochastic_parameters_LN!$A$12:$BQ$83,stochastic_parameters_LN_add_ol!V$10,FALSE)</f>
        <v>1.4830652530456298E-2</v>
      </c>
      <c r="W12" s="140">
        <f>VLOOKUP($C12,stochastic_parameters_LN!$A$12:$BQ$83,stochastic_parameters_LN_add_ol!W$10,FALSE)</f>
        <v>33.200000000000003</v>
      </c>
      <c r="X12" s="130">
        <f>VLOOKUP($C12,stochastic_parameters_LN!$A$12:$BQ$83,stochastic_parameters_LN_add_ol!X$10,FALSE)</f>
        <v>34.812046266525151</v>
      </c>
      <c r="Y12" s="131">
        <f>VLOOKUP($C12,stochastic_parameters_LN!$A$12:$BQ$83,stochastic_parameters_LN_add_ol!Y$10,FALSE)</f>
        <v>3.5262566799441935</v>
      </c>
      <c r="Z12" s="130">
        <f>VLOOKUP($C12,stochastic_parameters_LN!$A$12:$BQ$83,stochastic_parameters_LN_add_ol!Z$10,FALSE)</f>
        <v>1.4411431016261522E-2</v>
      </c>
      <c r="AA12" s="133">
        <f>VLOOKUP($C12,stochastic_parameters_LN!$A$12:$BQ$83,stochastic_parameters_LN_add_ol!AA$10,FALSE)</f>
        <v>33.996469464469918</v>
      </c>
      <c r="AB12" s="133">
        <f>VLOOKUP($C12,stochastic_parameters_LN!$A$12:$BQ$83,stochastic_parameters_LN_add_ol!AB$10,FALSE)</f>
        <v>34</v>
      </c>
      <c r="AC12" s="134">
        <f>VLOOKUP($C12,stochastic_parameters_LN!$A$12:$BQ$83,stochastic_parameters_LN_add_ol!AC$10,FALSE)</f>
        <v>0.49001409700939824</v>
      </c>
      <c r="AD12" s="148">
        <f>VLOOKUP($C12,stochastic_parameters_LN!$A$12:$BQ$83,stochastic_parameters_LN_add_ol!AD$10,FALSE)</f>
        <v>1.441217932380583E-2</v>
      </c>
      <c r="AE12" s="140" t="str">
        <f>VLOOKUP($C12,stochastic_parameters_LN!$A$12:$BQ$83,stochastic_parameters_LN_add_ol!AE$10,FALSE)</f>
        <v>-</v>
      </c>
      <c r="AF12" s="130" t="str">
        <f>VLOOKUP($C12,stochastic_parameters_LN!$A$12:$BQ$83,stochastic_parameters_LN_add_ol!AF$10,FALSE)</f>
        <v>-</v>
      </c>
      <c r="AG12" s="131" t="str">
        <f>VLOOKUP($C12,stochastic_parameters_LN!$A$12:$BQ$83,stochastic_parameters_LN_add_ol!AG$10,FALSE)</f>
        <v>-</v>
      </c>
      <c r="AH12" s="130" t="str">
        <f>VLOOKUP($C12,stochastic_parameters_LN!$A$12:$BQ$83,stochastic_parameters_LN_add_ol!AH$10,FALSE)</f>
        <v>-</v>
      </c>
      <c r="AI12" s="133" t="str">
        <f>VLOOKUP($C12,stochastic_parameters_LN!$A$12:$BQ$83,stochastic_parameters_LN_add_ol!AI$10,FALSE)</f>
        <v>-</v>
      </c>
      <c r="AJ12" s="133" t="str">
        <f>VLOOKUP($C12,stochastic_parameters_LN!$A$12:$BQ$83,stochastic_parameters_LN_add_ol!AJ$10,FALSE)</f>
        <v>-</v>
      </c>
      <c r="AK12" s="134" t="str">
        <f>VLOOKUP($C12,stochastic_parameters_LN!$A$12:$BQ$83,stochastic_parameters_LN_add_ol!AK$10,FALSE)</f>
        <v>-</v>
      </c>
      <c r="AL12" s="148" t="str">
        <f>VLOOKUP($C12,stochastic_parameters_LN!$A$12:$BQ$83,stochastic_parameters_LN_add_ol!AL$10,FALSE)</f>
        <v>-</v>
      </c>
      <c r="AM12" s="140" t="str">
        <f>VLOOKUP($C12,stochastic_parameters_LN!$A$12:$BQ$83,stochastic_parameters_LN_add_ol!AM$10,FALSE)</f>
        <v>-</v>
      </c>
      <c r="AN12" s="130" t="str">
        <f>VLOOKUP($C12,stochastic_parameters_LN!$A$12:$BQ$83,stochastic_parameters_LN_add_ol!AN$10,FALSE)</f>
        <v>-</v>
      </c>
      <c r="AO12" s="131" t="str">
        <f>VLOOKUP($C12,stochastic_parameters_LN!$A$12:$BQ$83,stochastic_parameters_LN_add_ol!AO$10,FALSE)</f>
        <v>-</v>
      </c>
      <c r="AP12" s="130" t="str">
        <f>VLOOKUP($C12,stochastic_parameters_LN!$A$12:$BQ$83,stochastic_parameters_LN_add_ol!AP$10,FALSE)</f>
        <v>-</v>
      </c>
      <c r="AQ12" s="133" t="str">
        <f>VLOOKUP($C12,stochastic_parameters_LN!$A$12:$BQ$83,stochastic_parameters_LN_add_ol!AQ$10,FALSE)</f>
        <v>-</v>
      </c>
      <c r="AR12" s="133" t="str">
        <f>VLOOKUP($C12,stochastic_parameters_LN!$A$12:$BQ$83,stochastic_parameters_LN_add_ol!AR$10,FALSE)</f>
        <v>-</v>
      </c>
      <c r="AS12" s="134" t="str">
        <f>VLOOKUP($C12,stochastic_parameters_LN!$A$12:$BQ$83,stochastic_parameters_LN_add_ol!AS$10,FALSE)</f>
        <v>-</v>
      </c>
      <c r="AT12" s="148" t="str">
        <f>VLOOKUP($C12,stochastic_parameters_LN!$A$12:$BQ$83,stochastic_parameters_LN_add_ol!AT$10,FALSE)</f>
        <v>-</v>
      </c>
      <c r="AU12" s="140" t="str">
        <f>VLOOKUP($C12,stochastic_parameters_LN!$A$12:$BQ$83,stochastic_parameters_LN_add_ol!AU$10,FALSE)</f>
        <v>-</v>
      </c>
      <c r="AV12" s="130" t="str">
        <f>VLOOKUP($C12,stochastic_parameters_LN!$A$12:$BQ$83,stochastic_parameters_LN_add_ol!AV$10,FALSE)</f>
        <v>-</v>
      </c>
      <c r="AW12" s="131" t="str">
        <f>VLOOKUP($C12,stochastic_parameters_LN!$A$12:$BQ$83,stochastic_parameters_LN_add_ol!AW$10,FALSE)</f>
        <v>-</v>
      </c>
      <c r="AX12" s="130" t="str">
        <f>VLOOKUP($C12,stochastic_parameters_LN!$A$12:$BQ$83,stochastic_parameters_LN_add_ol!AX$10,FALSE)</f>
        <v>-</v>
      </c>
      <c r="AY12" s="133" t="str">
        <f>VLOOKUP($C12,stochastic_parameters_LN!$A$12:$BQ$83,stochastic_parameters_LN_add_ol!AY$10,FALSE)</f>
        <v>-</v>
      </c>
      <c r="AZ12" s="133" t="str">
        <f>VLOOKUP($C12,stochastic_parameters_LN!$A$12:$BQ$83,stochastic_parameters_LN_add_ol!AZ$10,FALSE)</f>
        <v>-</v>
      </c>
      <c r="BA12" s="134" t="str">
        <f>VLOOKUP($C12,stochastic_parameters_LN!$A$12:$BQ$83,stochastic_parameters_LN_add_ol!BA$10,FALSE)</f>
        <v>-</v>
      </c>
      <c r="BB12" s="148" t="str">
        <f>VLOOKUP($C12,stochastic_parameters_LN!$A$12:$BQ$83,stochastic_parameters_LN_add_ol!BB$10,FALSE)</f>
        <v>-</v>
      </c>
      <c r="BC12" s="140" t="str">
        <f>VLOOKUP($C12,stochastic_parameters_LN!$A$12:$BQ$83,stochastic_parameters_LN_add_ol!BC$10,FALSE)</f>
        <v>-</v>
      </c>
      <c r="BD12" s="130" t="str">
        <f>VLOOKUP($C12,stochastic_parameters_LN!$A$12:$BQ$83,stochastic_parameters_LN_add_ol!BD$10,FALSE)</f>
        <v>-</v>
      </c>
      <c r="BE12" s="131" t="str">
        <f>VLOOKUP($C12,stochastic_parameters_LN!$A$12:$BQ$83,stochastic_parameters_LN_add_ol!BE$10,FALSE)</f>
        <v>-</v>
      </c>
      <c r="BF12" s="130" t="str">
        <f>VLOOKUP($C12,stochastic_parameters_LN!$A$12:$BQ$83,stochastic_parameters_LN_add_ol!BF$10,FALSE)</f>
        <v>-</v>
      </c>
      <c r="BG12" s="133" t="str">
        <f>VLOOKUP($C12,stochastic_parameters_LN!$A$12:$BQ$83,stochastic_parameters_LN_add_ol!BG$10,FALSE)</f>
        <v>-</v>
      </c>
      <c r="BH12" s="133" t="str">
        <f>VLOOKUP($C12,stochastic_parameters_LN!$A$12:$BQ$83,stochastic_parameters_LN_add_ol!BH$10,FALSE)</f>
        <v>-</v>
      </c>
      <c r="BI12" s="134" t="str">
        <f>VLOOKUP($C12,stochastic_parameters_LN!$A$12:$BQ$83,stochastic_parameters_LN_add_ol!BI$10,FALSE)</f>
        <v>-</v>
      </c>
      <c r="BJ12" s="148" t="str">
        <f>VLOOKUP($C12,stochastic_parameters_LN!$A$12:$BQ$83,stochastic_parameters_LN_add_ol!BJ$10,FALSE)</f>
        <v>-</v>
      </c>
      <c r="BK12" s="123">
        <f>VLOOKUP($C12,stochastic_parameters_LN!$A$12:$BQ$83,stochastic_parameters_LN_add_ol!BK$10,FALSE)</f>
        <v>103</v>
      </c>
      <c r="BL12" s="130">
        <f>VLOOKUP($C12,stochastic_parameters_LN!$A$12:$BQ$83,stochastic_parameters_LN_add_ol!BL$10,FALSE)</f>
        <v>103</v>
      </c>
      <c r="BM12" s="131">
        <f>VLOOKUP($C12,stochastic_parameters_LN!$A$12:$BQ$83,stochastic_parameters_LN_add_ol!BM$10,FALSE)</f>
        <v>4.6347289882296359</v>
      </c>
      <c r="BN12" s="130">
        <f>VLOOKUP($C12,stochastic_parameters_LN!$A$12:$BQ$83,stochastic_parameters_LN_add_ol!BN$10,FALSE)</f>
        <v>0</v>
      </c>
      <c r="BO12" s="133">
        <f>VLOOKUP($C12,stochastic_parameters_LN!$A$12:$BQ$83,stochastic_parameters_LN_add_ol!BO$10,FALSE)</f>
        <v>103.00000000000001</v>
      </c>
      <c r="BP12" s="133">
        <f>VLOOKUP($C12,stochastic_parameters_LN!$A$12:$BQ$83,stochastic_parameters_LN_add_ol!BP$10,FALSE)</f>
        <v>103.00000000000001</v>
      </c>
      <c r="BQ12" s="134">
        <f>VLOOKUP($C12,stochastic_parameters_LN!$A$12:$BQ$83,stochastic_parameters_LN_add_ol!BQ$10,FALSE)</f>
        <v>0</v>
      </c>
    </row>
    <row r="13" spans="1:69" x14ac:dyDescent="0.25">
      <c r="A13" t="s">
        <v>148</v>
      </c>
      <c r="B13" t="s">
        <v>383</v>
      </c>
      <c r="E13" s="152" t="str">
        <f>VLOOKUP(A13,Kleurtabel!$A$2:$F$822,6,FALSE)</f>
        <v>#80F5F5F5</v>
      </c>
      <c r="F13" s="125">
        <v>13</v>
      </c>
      <c r="G13" s="124">
        <v>15</v>
      </c>
      <c r="H13" s="130">
        <f t="shared" ref="H13:H14" si="0">(LN(G13)+LN(F13))/2</f>
        <v>2.6364997792818734</v>
      </c>
      <c r="I13" s="131">
        <f t="shared" ref="I13:I14" si="1">(LN(G13)-LN(F13))/(2*1.645)</f>
        <v>4.3495697155219858E-2</v>
      </c>
      <c r="J13" s="130">
        <f t="shared" ref="J13:J14" si="2">IF(F13="-","-",EXP(H13))</f>
        <v>13.964240043768941</v>
      </c>
      <c r="K13" s="133">
        <f t="shared" ref="K13:K14" si="3">EXP(H13+I13*I13/2)</f>
        <v>13.977455596330634</v>
      </c>
      <c r="L13" s="133">
        <f t="shared" ref="L13:L14" si="4">SQRT((EXP(I13*I13)-1)*EXP(2*H13+I13*I13))</f>
        <v>0.60824683477754204</v>
      </c>
      <c r="M13" s="134">
        <f t="shared" ref="M13:M14" si="5">L13/K13</f>
        <v>4.3516277378639584E-2</v>
      </c>
      <c r="N13" s="125">
        <v>13</v>
      </c>
      <c r="O13" s="124">
        <v>15</v>
      </c>
      <c r="P13" s="130">
        <f t="shared" ref="P13:P14" si="6">(LN(O13)+LN(N13))/2</f>
        <v>2.6364997792818734</v>
      </c>
      <c r="Q13" s="131">
        <f t="shared" ref="Q13:Q14" si="7">(LN(O13)-LN(N13))/(2*1.645)</f>
        <v>4.3495697155219858E-2</v>
      </c>
      <c r="R13" s="132">
        <f t="shared" ref="R13:R14" si="8">EXP(P13)</f>
        <v>13.964240043768941</v>
      </c>
      <c r="S13" s="132">
        <f t="shared" ref="S13:S14" si="9">EXP(P13+Q13*Q13/2)</f>
        <v>13.977455596330634</v>
      </c>
      <c r="T13" s="133">
        <f t="shared" ref="T13:T14" si="10">SQRT((EXP(Q13*Q13)-1)*EXP(2*P13+Q13*Q13))</f>
        <v>0.60824683477754204</v>
      </c>
      <c r="U13" s="134">
        <f t="shared" ref="U13:U14" si="11">T13/S13</f>
        <v>4.3516277378639584E-2</v>
      </c>
      <c r="V13" s="155">
        <v>37</v>
      </c>
      <c r="W13" s="140">
        <f t="shared" ref="W13:W14" si="12">IF(V13="-","-",EXP(X13+1.645*Y13))</f>
        <v>51.781071506430919</v>
      </c>
      <c r="X13" s="130">
        <f t="shared" ref="X13:X14" si="13">IF(V13="-","-",LN(AA13)-Y13*Y13/2)</f>
        <v>3.778971290097795</v>
      </c>
      <c r="Y13" s="131">
        <f t="shared" ref="Y13:Y14" si="14">IF(V13="-","-",(SQRT(1.645^2+2*LN(AA13/V13))-1.645))</f>
        <v>0.10216010787451113</v>
      </c>
      <c r="Z13" s="130">
        <f t="shared" ref="Z13:Z14" si="15">IF(V13="-","-",EXP(X13))</f>
        <v>43.77099091565033</v>
      </c>
      <c r="AA13" s="128">
        <v>44</v>
      </c>
      <c r="AB13" s="133">
        <f t="shared" ref="AB13:AB14" si="16">IF(V13="-","-",SQRT((EXP(Y13*Y13)-1)*EXP(2*X13+Y13*Y13)))</f>
        <v>4.5067986319898123</v>
      </c>
      <c r="AC13" s="134">
        <f t="shared" ref="AC13:AC14" si="17">IF(V13="-","-",AB13/AA13)</f>
        <v>0.10242724163613209</v>
      </c>
      <c r="AD13" s="125">
        <v>0.30599999999999999</v>
      </c>
      <c r="AE13" s="140">
        <f t="shared" ref="AE13" si="18">IF(AD13="-","-",EXP(AF13+1.645*AG13))</f>
        <v>0.33439712955224238</v>
      </c>
      <c r="AF13" s="130">
        <f t="shared" ref="AF13" si="19">IF(AD13="-","-",LN(AI13)-AG13*AG13/2)</f>
        <v>-1.1397980793565308</v>
      </c>
      <c r="AG13" s="131">
        <f t="shared" ref="AG13" si="20">IF(AD13="-","-",(SQRT(1.645^2+2*LN(AI13/AD13))-1.645))</f>
        <v>2.6973919558191728E-2</v>
      </c>
      <c r="AH13" s="130">
        <f t="shared" ref="AH13" si="21">IF(AD13="-","-",EXP(AF13))</f>
        <v>0.31988360639924357</v>
      </c>
      <c r="AI13" s="128">
        <v>0.32</v>
      </c>
      <c r="AJ13" s="133">
        <f t="shared" ref="AJ13" si="22">IF(AD13="-","-",SQRT((EXP(AG13*AG13)-1)*EXP(2*AF13+AG13*AG13)))</f>
        <v>8.6332245780153388E-3</v>
      </c>
      <c r="AK13" s="134">
        <f t="shared" ref="AK13" si="23">IF(AD13="-","-",AJ13/AI13)</f>
        <v>2.6978826806297932E-2</v>
      </c>
      <c r="AL13" s="125">
        <v>0.89100000000000001</v>
      </c>
      <c r="AM13" s="140">
        <f t="shared" ref="AM13" si="24">IF(AL13="-","-",EXP(AN13+1.645*AO13))</f>
        <v>0.90905710104543691</v>
      </c>
      <c r="AN13" s="130">
        <f t="shared" ref="AN13" si="25">IF(AL13="-","-",LN(AQ13)-AO13*AO13/2)</f>
        <v>-0.10537911042859724</v>
      </c>
      <c r="AO13" s="131">
        <f t="shared" ref="AO13" si="26">IF(AL13="-","-",(SQRT(1.645^2+2*LN(AQ13/AL13))-1.645))</f>
        <v>6.0983228466446882E-3</v>
      </c>
      <c r="AP13" s="130">
        <f t="shared" ref="AP13" si="27">IF(AL13="-","-",EXP(AN13))</f>
        <v>0.89998326486189961</v>
      </c>
      <c r="AQ13" s="128">
        <v>0.9</v>
      </c>
      <c r="AR13" s="133">
        <f t="shared" ref="AR13" si="28">IF(AL13="-","-",SQRT((EXP(AO13*AO13)-1)*EXP(2*AN13+AO13*AO13)))</f>
        <v>5.4885415909943875E-3</v>
      </c>
      <c r="AS13" s="134">
        <f t="shared" ref="AS13" si="29">IF(AL13="-","-",AR13/AQ13)</f>
        <v>6.0983795455493194E-3</v>
      </c>
      <c r="AT13" s="125">
        <v>5.67</v>
      </c>
      <c r="AU13" s="140">
        <f t="shared" ref="AU13" si="30">IF(AT13="-","-",EXP(AV13+1.645*AW13))</f>
        <v>38.585736192824157</v>
      </c>
      <c r="AV13" s="130">
        <f t="shared" ref="AV13" si="31">IF(AT13="-","-",LN(AY13)-AW13*AW13/2)</f>
        <v>2.694035898617293</v>
      </c>
      <c r="AW13" s="131">
        <f t="shared" ref="AW13" si="32">IF(AT13="-","-",(SQRT(1.645^2+2*LN(AY13/AT13))-1.645))</f>
        <v>0.58288558108062727</v>
      </c>
      <c r="AX13" s="130">
        <f t="shared" ref="AX13" si="33">IF(AT13="-","-",EXP(AV13))</f>
        <v>14.791251610776996</v>
      </c>
      <c r="AY13" s="128">
        <v>17.53</v>
      </c>
      <c r="AZ13" s="133">
        <f t="shared" ref="AZ13" si="34">IF(AT13="-","-",SQRT((EXP(AW13*AW13)-1)*EXP(2*AV13+AW13*AW13)))</f>
        <v>11.150571937682336</v>
      </c>
      <c r="BA13" s="134">
        <f t="shared" ref="BA13" si="35">IF(AT13="-","-",AZ13/AY13)</f>
        <v>0.63608510768296267</v>
      </c>
      <c r="BB13" s="125">
        <v>4.0999999999999996</v>
      </c>
      <c r="BC13" s="140">
        <f t="shared" ref="BC13" si="36">IF(BB13="-","-",EXP(BD13+1.645*BE13))</f>
        <v>4.0999999999999996</v>
      </c>
      <c r="BD13" s="130">
        <f t="shared" ref="BD13" si="37">IF(BB13="-","-",LN(BG13)-BE13*BE13/2)</f>
        <v>1.410986973710262</v>
      </c>
      <c r="BE13" s="131">
        <f t="shared" ref="BE13" si="38">IF(BB13="-","-",(SQRT(1.645^2+2*LN(BG13/BB13))-1.645))</f>
        <v>0</v>
      </c>
      <c r="BF13" s="130">
        <f t="shared" ref="BF13" si="39">IF(BB13="-","-",EXP(BD13))</f>
        <v>4.0999999999999996</v>
      </c>
      <c r="BG13" s="143">
        <v>4.0999999999999996</v>
      </c>
      <c r="BH13" s="133">
        <f t="shared" ref="BH13" si="40">IF(BB13="-","-",SQRT((EXP(BE13*BE13)-1)*EXP(2*BD13+BE13*BE13)))</f>
        <v>0</v>
      </c>
      <c r="BI13" s="134">
        <f t="shared" ref="BI13" si="41">IF(BB13="-","-",BH13/BG13)</f>
        <v>0</v>
      </c>
      <c r="BJ13" s="125">
        <v>45</v>
      </c>
      <c r="BK13" s="124">
        <v>90</v>
      </c>
      <c r="BL13" s="130">
        <f t="shared" ref="BL13:BL14" si="42">(LN(BK13)+LN(BJ13))/2</f>
        <v>4.1532360800502923</v>
      </c>
      <c r="BM13" s="131">
        <f t="shared" ref="BM13:BM14" si="43">(LN(BK13)-LN(BJ13))/(2*1.645)</f>
        <v>0.21068303360484664</v>
      </c>
      <c r="BN13" s="130">
        <f t="shared" ref="BN13:BN14" si="44">IF(BJ13="-","-",EXP(BL13))</f>
        <v>63.639610306789272</v>
      </c>
      <c r="BO13" s="133">
        <f t="shared" ref="BO13:BO14" si="45">EXP(BL13+BM13*BM13/2)</f>
        <v>65.067796563300135</v>
      </c>
      <c r="BP13" s="133">
        <f t="shared" ref="BP13:BP14" si="46">SQRT((EXP(BM13*BM13)-1)*EXP(2*BL13+BM13*BM13))</f>
        <v>13.862219888992817</v>
      </c>
      <c r="BQ13" s="134">
        <f t="shared" ref="BQ13:BQ14" si="47">BP13/BO13</f>
        <v>0.21304271269593683</v>
      </c>
    </row>
    <row r="14" spans="1:69" x14ac:dyDescent="0.25">
      <c r="A14" s="158" t="s">
        <v>357</v>
      </c>
      <c r="B14" t="s">
        <v>382</v>
      </c>
      <c r="E14" s="152" t="str">
        <f>VLOOKUP(A14,Kleurtabel!$A$2:$F$822,6,FALSE)</f>
        <v>#80F5F5F4</v>
      </c>
      <c r="F14" s="125">
        <v>17</v>
      </c>
      <c r="G14" s="124">
        <v>18</v>
      </c>
      <c r="H14" s="130">
        <f t="shared" si="0"/>
        <v>2.8617925509761903</v>
      </c>
      <c r="I14" s="131">
        <f t="shared" si="1"/>
        <v>1.7373378066853601E-2</v>
      </c>
      <c r="J14" s="130">
        <f t="shared" si="2"/>
        <v>17.4928556845359</v>
      </c>
      <c r="K14" s="133">
        <f t="shared" si="3"/>
        <v>17.495495855377509</v>
      </c>
      <c r="L14" s="133">
        <f t="shared" si="4"/>
        <v>0.30397880147861883</v>
      </c>
      <c r="M14" s="134">
        <f t="shared" si="5"/>
        <v>1.7374689119496221E-2</v>
      </c>
      <c r="N14" s="125">
        <v>19</v>
      </c>
      <c r="O14" s="124">
        <v>20</v>
      </c>
      <c r="P14" s="130">
        <f t="shared" si="6"/>
        <v>2.9700856263602153</v>
      </c>
      <c r="Q14" s="131">
        <f t="shared" si="7"/>
        <v>1.5590666987097445E-2</v>
      </c>
      <c r="R14" s="132">
        <f t="shared" si="8"/>
        <v>19.493588689617919</v>
      </c>
      <c r="S14" s="132">
        <f t="shared" si="9"/>
        <v>19.495957976141646</v>
      </c>
      <c r="T14" s="133">
        <f t="shared" si="10"/>
        <v>0.30397345983682589</v>
      </c>
      <c r="U14" s="134">
        <f t="shared" si="11"/>
        <v>1.5591614436634309E-2</v>
      </c>
      <c r="V14" s="155">
        <v>31</v>
      </c>
      <c r="W14" s="140">
        <f t="shared" si="12"/>
        <v>33.020098242525378</v>
      </c>
      <c r="X14" s="130">
        <f t="shared" si="13"/>
        <v>3.4655518091078741</v>
      </c>
      <c r="Y14" s="131">
        <f t="shared" si="14"/>
        <v>1.9188209497098985E-2</v>
      </c>
      <c r="Z14" s="130">
        <f t="shared" si="15"/>
        <v>31.994109544075247</v>
      </c>
      <c r="AA14" s="128">
        <v>32</v>
      </c>
      <c r="AB14" s="133">
        <f t="shared" si="16"/>
        <v>0.61407922709602392</v>
      </c>
      <c r="AC14" s="134">
        <f t="shared" si="17"/>
        <v>1.9189975846750747E-2</v>
      </c>
      <c r="AD14" s="125"/>
      <c r="AE14" s="140"/>
      <c r="AF14" s="130"/>
      <c r="AG14" s="131"/>
      <c r="AH14" s="130"/>
      <c r="AI14" s="128"/>
      <c r="AJ14" s="133"/>
      <c r="AK14" s="134"/>
      <c r="AL14" s="125"/>
      <c r="AM14" s="140"/>
      <c r="AN14" s="130"/>
      <c r="AO14" s="131"/>
      <c r="AP14" s="130"/>
      <c r="AQ14" s="128"/>
      <c r="AR14" s="133"/>
      <c r="AS14" s="134"/>
      <c r="AT14" s="125"/>
      <c r="AU14" s="140"/>
      <c r="AV14" s="130"/>
      <c r="AW14" s="131"/>
      <c r="AX14" s="130"/>
      <c r="AY14" s="128"/>
      <c r="AZ14" s="133"/>
      <c r="BA14" s="134"/>
      <c r="BB14" s="125"/>
      <c r="BC14" s="140"/>
      <c r="BD14" s="130"/>
      <c r="BE14" s="131"/>
      <c r="BF14" s="130"/>
      <c r="BG14" s="143"/>
      <c r="BH14" s="133"/>
      <c r="BI14" s="134"/>
      <c r="BJ14" s="125">
        <v>103</v>
      </c>
      <c r="BK14" s="124">
        <v>103</v>
      </c>
      <c r="BL14" s="130">
        <f t="shared" si="42"/>
        <v>4.6347289882296359</v>
      </c>
      <c r="BM14" s="131">
        <f t="shared" si="43"/>
        <v>0</v>
      </c>
      <c r="BN14" s="130">
        <f t="shared" si="44"/>
        <v>103.00000000000001</v>
      </c>
      <c r="BO14" s="133">
        <f t="shared" si="45"/>
        <v>103.00000000000001</v>
      </c>
      <c r="BP14" s="133">
        <f t="shared" si="46"/>
        <v>0</v>
      </c>
      <c r="BQ14" s="134">
        <f t="shared" si="47"/>
        <v>0</v>
      </c>
    </row>
    <row r="15" spans="1:69" ht="15.75" thickBot="1" x14ac:dyDescent="0.3">
      <c r="A15" t="s">
        <v>350</v>
      </c>
      <c r="E15" t="s">
        <v>363</v>
      </c>
      <c r="F15" s="149" t="e">
        <f>VLOOKUP($C15,stochastic_parameters_LN!$A$12:$BQ$83,stochastic_parameters_LN_add_ol!F$10,FALSE)</f>
        <v>#N/A</v>
      </c>
      <c r="G15" s="150" t="e">
        <f>VLOOKUP($C15,stochastic_parameters_LN!$A$12:$BQ$83,stochastic_parameters_LN_add_ol!G$10,FALSE)</f>
        <v>#N/A</v>
      </c>
      <c r="H15" s="135" t="e">
        <f>VLOOKUP($C15,stochastic_parameters_LN!$A$12:$BQ$83,stochastic_parameters_LN_add_ol!H$10,FALSE)</f>
        <v>#N/A</v>
      </c>
      <c r="I15" s="136" t="e">
        <f>VLOOKUP($C15,stochastic_parameters_LN!$A$12:$BQ$83,stochastic_parameters_LN_add_ol!I$10,FALSE)</f>
        <v>#N/A</v>
      </c>
      <c r="J15" s="135" t="e">
        <f>VLOOKUP($C15,stochastic_parameters_LN!$A$12:$BQ$83,stochastic_parameters_LN_add_ol!J$10,FALSE)</f>
        <v>#N/A</v>
      </c>
      <c r="K15" s="138" t="e">
        <f>VLOOKUP($C15,stochastic_parameters_LN!$A$12:$BQ$83,stochastic_parameters_LN_add_ol!K$10,FALSE)</f>
        <v>#N/A</v>
      </c>
      <c r="L15" s="138" t="e">
        <f>VLOOKUP($C15,stochastic_parameters_LN!$A$12:$BQ$83,stochastic_parameters_LN_add_ol!L$10,FALSE)</f>
        <v>#N/A</v>
      </c>
      <c r="M15" s="139" t="e">
        <f>VLOOKUP($C15,stochastic_parameters_LN!$A$12:$BQ$83,stochastic_parameters_LN_add_ol!M$10,FALSE)</f>
        <v>#N/A</v>
      </c>
      <c r="N15" s="149" t="e">
        <f>VLOOKUP($C15,stochastic_parameters_LN!$A$12:$BQ$83,stochastic_parameters_LN_add_ol!N$10,FALSE)</f>
        <v>#N/A</v>
      </c>
      <c r="O15" s="150" t="e">
        <f>VLOOKUP($C15,stochastic_parameters_LN!$A$12:$BQ$83,stochastic_parameters_LN_add_ol!O$10,FALSE)</f>
        <v>#N/A</v>
      </c>
      <c r="P15" s="135" t="e">
        <f>VLOOKUP($C15,stochastic_parameters_LN!$A$12:$BQ$83,stochastic_parameters_LN_add_ol!P$10,FALSE)</f>
        <v>#N/A</v>
      </c>
      <c r="Q15" s="136" t="e">
        <f>VLOOKUP($C15,stochastic_parameters_LN!$A$12:$BQ$83,stochastic_parameters_LN_add_ol!Q$10,FALSE)</f>
        <v>#N/A</v>
      </c>
      <c r="R15" s="137" t="e">
        <f>VLOOKUP($C15,stochastic_parameters_LN!$A$12:$BQ$83,stochastic_parameters_LN_add_ol!R$10,FALSE)</f>
        <v>#N/A</v>
      </c>
      <c r="S15" s="137" t="e">
        <f>VLOOKUP($C15,stochastic_parameters_LN!$A$12:$BQ$83,stochastic_parameters_LN_add_ol!S$10,FALSE)</f>
        <v>#N/A</v>
      </c>
      <c r="T15" s="138" t="e">
        <f>VLOOKUP($C15,stochastic_parameters_LN!$A$12:$BQ$83,stochastic_parameters_LN_add_ol!T$10,FALSE)</f>
        <v>#N/A</v>
      </c>
      <c r="U15" s="139" t="e">
        <f>VLOOKUP($C15,stochastic_parameters_LN!$A$12:$BQ$83,stochastic_parameters_LN_add_ol!U$10,FALSE)</f>
        <v>#N/A</v>
      </c>
      <c r="V15" s="149" t="e">
        <f>VLOOKUP($C15,stochastic_parameters_LN!$A$12:$BQ$83,stochastic_parameters_LN_add_ol!V$10,FALSE)</f>
        <v>#N/A</v>
      </c>
      <c r="W15" s="141" t="e">
        <f>VLOOKUP($C15,stochastic_parameters_LN!$A$12:$BQ$83,stochastic_parameters_LN_add_ol!W$10,FALSE)</f>
        <v>#N/A</v>
      </c>
      <c r="X15" s="135" t="e">
        <f>VLOOKUP($C15,stochastic_parameters_LN!$A$12:$BQ$83,stochastic_parameters_LN_add_ol!X$10,FALSE)</f>
        <v>#N/A</v>
      </c>
      <c r="Y15" s="136" t="e">
        <f>VLOOKUP($C15,stochastic_parameters_LN!$A$12:$BQ$83,stochastic_parameters_LN_add_ol!Y$10,FALSE)</f>
        <v>#N/A</v>
      </c>
      <c r="Z15" s="135" t="e">
        <f>VLOOKUP($C15,stochastic_parameters_LN!$A$12:$BQ$83,stochastic_parameters_LN_add_ol!Z$10,FALSE)</f>
        <v>#N/A</v>
      </c>
      <c r="AA15" s="138" t="e">
        <f>VLOOKUP($C15,stochastic_parameters_LN!$A$12:$BQ$83,stochastic_parameters_LN_add_ol!AA$10,FALSE)</f>
        <v>#N/A</v>
      </c>
      <c r="AB15" s="138" t="e">
        <f>VLOOKUP($C15,stochastic_parameters_LN!$A$12:$BQ$83,stochastic_parameters_LN_add_ol!AB$10,FALSE)</f>
        <v>#N/A</v>
      </c>
      <c r="AC15" s="139" t="e">
        <f>VLOOKUP($C15,stochastic_parameters_LN!$A$12:$BQ$83,stochastic_parameters_LN_add_ol!AC$10,FALSE)</f>
        <v>#N/A</v>
      </c>
      <c r="AD15" s="149" t="e">
        <f>VLOOKUP($C15,stochastic_parameters_LN!$A$12:$BQ$83,stochastic_parameters_LN_add_ol!AD$10,FALSE)</f>
        <v>#N/A</v>
      </c>
      <c r="AE15" s="141" t="e">
        <f>VLOOKUP($C15,stochastic_parameters_LN!$A$12:$BQ$83,stochastic_parameters_LN_add_ol!AE$10,FALSE)</f>
        <v>#N/A</v>
      </c>
      <c r="AF15" s="135" t="e">
        <f>VLOOKUP($C15,stochastic_parameters_LN!$A$12:$BQ$83,stochastic_parameters_LN_add_ol!AF$10,FALSE)</f>
        <v>#N/A</v>
      </c>
      <c r="AG15" s="136" t="e">
        <f>VLOOKUP($C15,stochastic_parameters_LN!$A$12:$BQ$83,stochastic_parameters_LN_add_ol!AG$10,FALSE)</f>
        <v>#N/A</v>
      </c>
      <c r="AH15" s="135" t="e">
        <f>VLOOKUP($C15,stochastic_parameters_LN!$A$12:$BQ$83,stochastic_parameters_LN_add_ol!AH$10,FALSE)</f>
        <v>#N/A</v>
      </c>
      <c r="AI15" s="138" t="e">
        <f>VLOOKUP($C15,stochastic_parameters_LN!$A$12:$BQ$83,stochastic_parameters_LN_add_ol!AI$10,FALSE)</f>
        <v>#N/A</v>
      </c>
      <c r="AJ15" s="138" t="e">
        <f>VLOOKUP($C15,stochastic_parameters_LN!$A$12:$BQ$83,stochastic_parameters_LN_add_ol!AJ$10,FALSE)</f>
        <v>#N/A</v>
      </c>
      <c r="AK15" s="139" t="e">
        <f>VLOOKUP($C15,stochastic_parameters_LN!$A$12:$BQ$83,stochastic_parameters_LN_add_ol!AK$10,FALSE)</f>
        <v>#N/A</v>
      </c>
      <c r="AL15" s="149" t="e">
        <f>VLOOKUP($C15,stochastic_parameters_LN!$A$12:$BQ$83,stochastic_parameters_LN_add_ol!AL$10,FALSE)</f>
        <v>#N/A</v>
      </c>
      <c r="AM15" s="141" t="e">
        <f>VLOOKUP($C15,stochastic_parameters_LN!$A$12:$BQ$83,stochastic_parameters_LN_add_ol!AM$10,FALSE)</f>
        <v>#N/A</v>
      </c>
      <c r="AN15" s="135" t="e">
        <f>VLOOKUP($C15,stochastic_parameters_LN!$A$12:$BQ$83,stochastic_parameters_LN_add_ol!AN$10,FALSE)</f>
        <v>#N/A</v>
      </c>
      <c r="AO15" s="136" t="e">
        <f>VLOOKUP($C15,stochastic_parameters_LN!$A$12:$BQ$83,stochastic_parameters_LN_add_ol!AO$10,FALSE)</f>
        <v>#N/A</v>
      </c>
      <c r="AP15" s="135" t="e">
        <f>VLOOKUP($C15,stochastic_parameters_LN!$A$12:$BQ$83,stochastic_parameters_LN_add_ol!AP$10,FALSE)</f>
        <v>#N/A</v>
      </c>
      <c r="AQ15" s="138" t="e">
        <f>VLOOKUP($C15,stochastic_parameters_LN!$A$12:$BQ$83,stochastic_parameters_LN_add_ol!AQ$10,FALSE)</f>
        <v>#N/A</v>
      </c>
      <c r="AR15" s="138" t="e">
        <f>VLOOKUP($C15,stochastic_parameters_LN!$A$12:$BQ$83,stochastic_parameters_LN_add_ol!AR$10,FALSE)</f>
        <v>#N/A</v>
      </c>
      <c r="AS15" s="139" t="e">
        <f>VLOOKUP($C15,stochastic_parameters_LN!$A$12:$BQ$83,stochastic_parameters_LN_add_ol!AS$10,FALSE)</f>
        <v>#N/A</v>
      </c>
      <c r="AT15" s="149" t="e">
        <f>VLOOKUP($C15,stochastic_parameters_LN!$A$12:$BQ$83,stochastic_parameters_LN_add_ol!AT$10,FALSE)</f>
        <v>#N/A</v>
      </c>
      <c r="AU15" s="141" t="e">
        <f>VLOOKUP($C15,stochastic_parameters_LN!$A$12:$BQ$83,stochastic_parameters_LN_add_ol!AU$10,FALSE)</f>
        <v>#N/A</v>
      </c>
      <c r="AV15" s="135" t="e">
        <f>VLOOKUP($C15,stochastic_parameters_LN!$A$12:$BQ$83,stochastic_parameters_LN_add_ol!AV$10,FALSE)</f>
        <v>#N/A</v>
      </c>
      <c r="AW15" s="136" t="e">
        <f>VLOOKUP($C15,stochastic_parameters_LN!$A$12:$BQ$83,stochastic_parameters_LN_add_ol!AW$10,FALSE)</f>
        <v>#N/A</v>
      </c>
      <c r="AX15" s="135" t="e">
        <f>VLOOKUP($C15,stochastic_parameters_LN!$A$12:$BQ$83,stochastic_parameters_LN_add_ol!AX$10,FALSE)</f>
        <v>#N/A</v>
      </c>
      <c r="AY15" s="138" t="e">
        <f>VLOOKUP($C15,stochastic_parameters_LN!$A$12:$BQ$83,stochastic_parameters_LN_add_ol!AY$10,FALSE)</f>
        <v>#N/A</v>
      </c>
      <c r="AZ15" s="138" t="e">
        <f>VLOOKUP($C15,stochastic_parameters_LN!$A$12:$BQ$83,stochastic_parameters_LN_add_ol!AZ$10,FALSE)</f>
        <v>#N/A</v>
      </c>
      <c r="BA15" s="139" t="e">
        <f>VLOOKUP($C15,stochastic_parameters_LN!$A$12:$BQ$83,stochastic_parameters_LN_add_ol!BA$10,FALSE)</f>
        <v>#N/A</v>
      </c>
      <c r="BB15" s="149" t="e">
        <f>VLOOKUP($C15,stochastic_parameters_LN!$A$12:$BQ$83,stochastic_parameters_LN_add_ol!BB$10,FALSE)</f>
        <v>#N/A</v>
      </c>
      <c r="BC15" s="141" t="e">
        <f>VLOOKUP($C15,stochastic_parameters_LN!$A$12:$BQ$83,stochastic_parameters_LN_add_ol!BC$10,FALSE)</f>
        <v>#N/A</v>
      </c>
      <c r="BD15" s="135" t="e">
        <f>VLOOKUP($C15,stochastic_parameters_LN!$A$12:$BQ$83,stochastic_parameters_LN_add_ol!BD$10,FALSE)</f>
        <v>#N/A</v>
      </c>
      <c r="BE15" s="136" t="e">
        <f>VLOOKUP($C15,stochastic_parameters_LN!$A$12:$BQ$83,stochastic_parameters_LN_add_ol!BE$10,FALSE)</f>
        <v>#N/A</v>
      </c>
      <c r="BF15" s="135" t="e">
        <f>VLOOKUP($C15,stochastic_parameters_LN!$A$12:$BQ$83,stochastic_parameters_LN_add_ol!BF$10,FALSE)</f>
        <v>#N/A</v>
      </c>
      <c r="BG15" s="133" t="e">
        <f>VLOOKUP($C15,stochastic_parameters_LN!$A$12:$BQ$83,stochastic_parameters_LN_add_ol!BG$10,FALSE)</f>
        <v>#N/A</v>
      </c>
      <c r="BH15" s="138" t="e">
        <f>VLOOKUP($C15,stochastic_parameters_LN!$A$12:$BQ$83,stochastic_parameters_LN_add_ol!BH$10,FALSE)</f>
        <v>#N/A</v>
      </c>
      <c r="BI15" s="139" t="e">
        <f>VLOOKUP($C15,stochastic_parameters_LN!$A$12:$BQ$83,stochastic_parameters_LN_add_ol!BI$10,FALSE)</f>
        <v>#N/A</v>
      </c>
      <c r="BJ15" s="149" t="e">
        <f>VLOOKUP($C15,stochastic_parameters_LN!$A$12:$BQ$83,stochastic_parameters_LN_add_ol!BJ$10,FALSE)</f>
        <v>#N/A</v>
      </c>
      <c r="BK15" s="150" t="e">
        <f>VLOOKUP($C15,stochastic_parameters_LN!$A$12:$BQ$83,stochastic_parameters_LN_add_ol!BK$10,FALSE)</f>
        <v>#N/A</v>
      </c>
      <c r="BL15" s="135" t="e">
        <f>VLOOKUP($C15,stochastic_parameters_LN!$A$12:$BQ$83,stochastic_parameters_LN_add_ol!BL$10,FALSE)</f>
        <v>#N/A</v>
      </c>
      <c r="BM15" s="136" t="e">
        <f>VLOOKUP($C15,stochastic_parameters_LN!$A$12:$BQ$83,stochastic_parameters_LN_add_ol!BM$10,FALSE)</f>
        <v>#N/A</v>
      </c>
      <c r="BN15" s="135" t="e">
        <f>VLOOKUP($C15,stochastic_parameters_LN!$A$12:$BQ$83,stochastic_parameters_LN_add_ol!BN$10,FALSE)</f>
        <v>#N/A</v>
      </c>
      <c r="BO15" s="138" t="e">
        <f>VLOOKUP($C15,stochastic_parameters_LN!$A$12:$BQ$83,stochastic_parameters_LN_add_ol!BO$10,FALSE)</f>
        <v>#N/A</v>
      </c>
      <c r="BP15" s="138" t="e">
        <f>VLOOKUP($C15,stochastic_parameters_LN!$A$12:$BQ$83,stochastic_parameters_LN_add_ol!BP$10,FALSE)</f>
        <v>#N/A</v>
      </c>
      <c r="BQ15" s="139" t="e">
        <f>VLOOKUP($C15,stochastic_parameters_LN!$A$12:$BQ$83,stochastic_parameters_LN_add_ol!BQ$10,FALSE)</f>
        <v>#N/A</v>
      </c>
    </row>
  </sheetData>
  <conditionalFormatting sqref="E13:E14">
    <cfRule type="cellIs" dxfId="0" priority="1" operator="equal">
      <formula>"#00000000"</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28426-1C8F-46A9-B42C-5B032408FD2E}">
  <dimension ref="A2:BQ15"/>
  <sheetViews>
    <sheetView zoomScale="71" workbookViewId="0">
      <pane xSplit="3" ySplit="9" topLeftCell="D10" activePane="bottomRight" state="frozen"/>
      <selection pane="topRight" activeCell="C1" sqref="C1"/>
      <selection pane="bottomLeft" activeCell="A10" sqref="A10"/>
      <selection pane="bottomRight" activeCell="I13" sqref="I13"/>
    </sheetView>
  </sheetViews>
  <sheetFormatPr defaultRowHeight="15" x14ac:dyDescent="0.25"/>
  <cols>
    <col min="1" max="2" width="20.7109375" customWidth="1"/>
    <col min="3" max="3" width="14.140625" bestFit="1" customWidth="1"/>
    <col min="4" max="5" width="14.140625" customWidth="1"/>
  </cols>
  <sheetData>
    <row r="2" spans="1:69" x14ac:dyDescent="0.25">
      <c r="A2" t="s">
        <v>354</v>
      </c>
    </row>
    <row r="4" spans="1:69" x14ac:dyDescent="0.25">
      <c r="A4" s="121" t="s">
        <v>274</v>
      </c>
    </row>
    <row r="6" spans="1:69" x14ac:dyDescent="0.25">
      <c r="A6" s="123" t="s">
        <v>352</v>
      </c>
      <c r="C6" s="123"/>
      <c r="D6" s="123"/>
      <c r="E6" s="123"/>
    </row>
    <row r="7" spans="1:69" ht="15.75" thickBot="1" x14ac:dyDescent="0.3">
      <c r="A7" s="142" t="s">
        <v>278</v>
      </c>
      <c r="C7" s="142"/>
      <c r="D7" s="142"/>
      <c r="E7" s="142"/>
    </row>
    <row r="8" spans="1:69" ht="45.75" thickBot="1" x14ac:dyDescent="0.3">
      <c r="A8" t="s">
        <v>6</v>
      </c>
      <c r="C8" t="s">
        <v>355</v>
      </c>
      <c r="F8" s="110" t="s">
        <v>267</v>
      </c>
      <c r="G8" s="111"/>
      <c r="H8" s="111"/>
      <c r="I8" s="111"/>
      <c r="J8" s="111"/>
      <c r="K8" s="111"/>
      <c r="L8" s="111"/>
      <c r="M8" s="111"/>
      <c r="N8" s="110" t="s">
        <v>260</v>
      </c>
      <c r="O8" s="111"/>
      <c r="P8" s="111"/>
      <c r="Q8" s="111"/>
      <c r="R8" s="111"/>
      <c r="S8" s="111"/>
      <c r="T8" s="111"/>
      <c r="U8" s="111"/>
      <c r="V8" s="110" t="s">
        <v>269</v>
      </c>
      <c r="W8" s="111"/>
      <c r="X8" s="111"/>
      <c r="Y8" s="111"/>
      <c r="Z8" s="111"/>
      <c r="AA8" s="111"/>
      <c r="AB8" s="111"/>
      <c r="AC8" s="111"/>
      <c r="AD8" s="110" t="s">
        <v>270</v>
      </c>
      <c r="AE8" s="111"/>
      <c r="AF8" s="111"/>
      <c r="AG8" s="111"/>
      <c r="AH8" s="111"/>
      <c r="AI8" s="111"/>
      <c r="AJ8" s="111"/>
      <c r="AK8" s="111"/>
      <c r="AL8" s="110" t="s">
        <v>271</v>
      </c>
      <c r="AM8" s="111"/>
      <c r="AN8" s="111"/>
      <c r="AO8" s="111"/>
      <c r="AP8" s="111"/>
      <c r="AQ8" s="111"/>
      <c r="AR8" s="111"/>
      <c r="AS8" s="111"/>
      <c r="AT8" s="110" t="s">
        <v>272</v>
      </c>
      <c r="AU8" s="111"/>
      <c r="AV8" s="111"/>
      <c r="AW8" s="111"/>
      <c r="AX8" s="111"/>
      <c r="AY8" s="111"/>
      <c r="AZ8" s="111"/>
      <c r="BA8" s="111"/>
      <c r="BB8" s="110" t="s">
        <v>277</v>
      </c>
      <c r="BC8" s="111"/>
      <c r="BD8" s="111"/>
      <c r="BE8" s="111"/>
      <c r="BF8" s="111" t="s">
        <v>266</v>
      </c>
      <c r="BG8" s="111"/>
      <c r="BH8" s="111"/>
      <c r="BI8" s="111"/>
      <c r="BJ8" s="110" t="s">
        <v>273</v>
      </c>
      <c r="BK8" s="111"/>
      <c r="BL8" s="111"/>
      <c r="BM8" s="111"/>
      <c r="BN8" s="111"/>
      <c r="BO8" s="111"/>
      <c r="BP8" s="111"/>
      <c r="BQ8" s="122"/>
    </row>
    <row r="9" spans="1:69" ht="30" x14ac:dyDescent="0.25">
      <c r="F9" s="145" t="s">
        <v>282</v>
      </c>
      <c r="G9" s="146" t="s">
        <v>283</v>
      </c>
      <c r="H9" s="114" t="s">
        <v>268</v>
      </c>
      <c r="I9" s="115" t="s">
        <v>280</v>
      </c>
      <c r="J9" s="114" t="s">
        <v>279</v>
      </c>
      <c r="K9" s="116" t="s">
        <v>263</v>
      </c>
      <c r="L9" s="116" t="s">
        <v>264</v>
      </c>
      <c r="M9" s="117" t="s">
        <v>265</v>
      </c>
      <c r="N9" s="145" t="s">
        <v>282</v>
      </c>
      <c r="O9" s="146" t="s">
        <v>283</v>
      </c>
      <c r="P9" s="114" t="s">
        <v>261</v>
      </c>
      <c r="Q9" s="115" t="s">
        <v>280</v>
      </c>
      <c r="R9" s="114" t="s">
        <v>279</v>
      </c>
      <c r="S9" s="116" t="s">
        <v>263</v>
      </c>
      <c r="T9" s="116" t="s">
        <v>264</v>
      </c>
      <c r="U9" s="117" t="s">
        <v>265</v>
      </c>
      <c r="V9" s="145" t="s">
        <v>282</v>
      </c>
      <c r="W9" s="146" t="s">
        <v>283</v>
      </c>
      <c r="X9" s="114" t="s">
        <v>261</v>
      </c>
      <c r="Y9" s="115" t="s">
        <v>280</v>
      </c>
      <c r="Z9" s="114" t="s">
        <v>279</v>
      </c>
      <c r="AA9" s="116" t="s">
        <v>263</v>
      </c>
      <c r="AB9" s="116" t="s">
        <v>264</v>
      </c>
      <c r="AC9" s="117" t="s">
        <v>265</v>
      </c>
      <c r="AD9" s="145" t="s">
        <v>282</v>
      </c>
      <c r="AE9" s="146" t="s">
        <v>283</v>
      </c>
      <c r="AF9" s="114" t="s">
        <v>261</v>
      </c>
      <c r="AG9" s="115" t="s">
        <v>280</v>
      </c>
      <c r="AH9" s="114" t="s">
        <v>279</v>
      </c>
      <c r="AI9" s="116" t="s">
        <v>263</v>
      </c>
      <c r="AJ9" s="116" t="s">
        <v>264</v>
      </c>
      <c r="AK9" s="117" t="s">
        <v>265</v>
      </c>
      <c r="AL9" s="145" t="s">
        <v>282</v>
      </c>
      <c r="AM9" s="146" t="s">
        <v>283</v>
      </c>
      <c r="AN9" s="114" t="s">
        <v>261</v>
      </c>
      <c r="AO9" s="115" t="s">
        <v>280</v>
      </c>
      <c r="AP9" s="114" t="s">
        <v>279</v>
      </c>
      <c r="AQ9" s="116" t="s">
        <v>263</v>
      </c>
      <c r="AR9" s="116" t="s">
        <v>264</v>
      </c>
      <c r="AS9" s="117" t="s">
        <v>265</v>
      </c>
      <c r="AT9" s="145" t="s">
        <v>282</v>
      </c>
      <c r="AU9" s="146" t="s">
        <v>283</v>
      </c>
      <c r="AV9" s="114" t="s">
        <v>261</v>
      </c>
      <c r="AW9" s="115" t="s">
        <v>280</v>
      </c>
      <c r="AX9" s="114" t="s">
        <v>279</v>
      </c>
      <c r="AY9" s="116" t="s">
        <v>263</v>
      </c>
      <c r="AZ9" s="116" t="s">
        <v>264</v>
      </c>
      <c r="BA9" s="117" t="s">
        <v>265</v>
      </c>
      <c r="BB9" s="145" t="s">
        <v>282</v>
      </c>
      <c r="BC9" s="146" t="s">
        <v>283</v>
      </c>
      <c r="BD9" s="114" t="s">
        <v>261</v>
      </c>
      <c r="BE9" s="115" t="s">
        <v>280</v>
      </c>
      <c r="BF9" s="114" t="s">
        <v>279</v>
      </c>
      <c r="BG9" s="116" t="s">
        <v>263</v>
      </c>
      <c r="BH9" s="116" t="s">
        <v>264</v>
      </c>
      <c r="BI9" s="117" t="s">
        <v>265</v>
      </c>
      <c r="BJ9" s="145" t="s">
        <v>282</v>
      </c>
      <c r="BK9" s="146" t="s">
        <v>283</v>
      </c>
      <c r="BL9" s="114" t="s">
        <v>268</v>
      </c>
      <c r="BM9" s="115" t="s">
        <v>280</v>
      </c>
      <c r="BN9" s="114" t="s">
        <v>279</v>
      </c>
      <c r="BO9" s="116" t="s">
        <v>263</v>
      </c>
      <c r="BP9" s="116" t="s">
        <v>264</v>
      </c>
      <c r="BQ9" s="117" t="s">
        <v>265</v>
      </c>
    </row>
    <row r="10" spans="1:69" ht="15.75" thickBot="1" x14ac:dyDescent="0.3">
      <c r="A10" t="s">
        <v>356</v>
      </c>
      <c r="C10" t="s">
        <v>351</v>
      </c>
      <c r="E10">
        <v>4</v>
      </c>
      <c r="F10" s="112">
        <v>5</v>
      </c>
      <c r="G10" s="113">
        <f>F10+1</f>
        <v>6</v>
      </c>
      <c r="H10" s="118">
        <f t="shared" ref="H10:BQ10" si="0">G10+1</f>
        <v>7</v>
      </c>
      <c r="I10" s="119">
        <f t="shared" si="0"/>
        <v>8</v>
      </c>
      <c r="J10" s="144">
        <f t="shared" si="0"/>
        <v>9</v>
      </c>
      <c r="K10" s="113">
        <f t="shared" si="0"/>
        <v>10</v>
      </c>
      <c r="L10" s="113">
        <f t="shared" si="0"/>
        <v>11</v>
      </c>
      <c r="M10" s="120">
        <f t="shared" si="0"/>
        <v>12</v>
      </c>
      <c r="N10" s="112">
        <f t="shared" si="0"/>
        <v>13</v>
      </c>
      <c r="O10" s="113">
        <f t="shared" si="0"/>
        <v>14</v>
      </c>
      <c r="P10" s="118">
        <f t="shared" si="0"/>
        <v>15</v>
      </c>
      <c r="Q10" s="119">
        <f t="shared" si="0"/>
        <v>16</v>
      </c>
      <c r="R10" s="113">
        <f t="shared" si="0"/>
        <v>17</v>
      </c>
      <c r="S10" s="113">
        <f t="shared" si="0"/>
        <v>18</v>
      </c>
      <c r="T10" s="113">
        <f t="shared" si="0"/>
        <v>19</v>
      </c>
      <c r="U10" s="120">
        <f t="shared" si="0"/>
        <v>20</v>
      </c>
      <c r="V10" s="112">
        <f t="shared" si="0"/>
        <v>21</v>
      </c>
      <c r="W10" s="113">
        <f t="shared" si="0"/>
        <v>22</v>
      </c>
      <c r="X10" s="118">
        <f t="shared" si="0"/>
        <v>23</v>
      </c>
      <c r="Y10" s="119">
        <f t="shared" si="0"/>
        <v>24</v>
      </c>
      <c r="Z10" s="144">
        <f t="shared" si="0"/>
        <v>25</v>
      </c>
      <c r="AA10" s="113">
        <f t="shared" si="0"/>
        <v>26</v>
      </c>
      <c r="AB10" s="113">
        <f t="shared" si="0"/>
        <v>27</v>
      </c>
      <c r="AC10" s="120">
        <f t="shared" si="0"/>
        <v>28</v>
      </c>
      <c r="AD10" s="112">
        <f t="shared" si="0"/>
        <v>29</v>
      </c>
      <c r="AE10" s="113">
        <f t="shared" si="0"/>
        <v>30</v>
      </c>
      <c r="AF10" s="118">
        <f t="shared" si="0"/>
        <v>31</v>
      </c>
      <c r="AG10" s="119">
        <f t="shared" si="0"/>
        <v>32</v>
      </c>
      <c r="AH10" s="144">
        <f t="shared" si="0"/>
        <v>33</v>
      </c>
      <c r="AI10" s="113">
        <f t="shared" si="0"/>
        <v>34</v>
      </c>
      <c r="AJ10" s="113">
        <f t="shared" si="0"/>
        <v>35</v>
      </c>
      <c r="AK10" s="120">
        <f t="shared" si="0"/>
        <v>36</v>
      </c>
      <c r="AL10" s="112">
        <f t="shared" si="0"/>
        <v>37</v>
      </c>
      <c r="AM10" s="113">
        <f t="shared" si="0"/>
        <v>38</v>
      </c>
      <c r="AN10" s="118">
        <f t="shared" si="0"/>
        <v>39</v>
      </c>
      <c r="AO10" s="119">
        <f t="shared" si="0"/>
        <v>40</v>
      </c>
      <c r="AP10" s="144">
        <f t="shared" si="0"/>
        <v>41</v>
      </c>
      <c r="AQ10" s="113">
        <f t="shared" si="0"/>
        <v>42</v>
      </c>
      <c r="AR10" s="113">
        <f t="shared" si="0"/>
        <v>43</v>
      </c>
      <c r="AS10" s="120">
        <f t="shared" si="0"/>
        <v>44</v>
      </c>
      <c r="AT10" s="112">
        <f t="shared" si="0"/>
        <v>45</v>
      </c>
      <c r="AU10" s="113">
        <f t="shared" si="0"/>
        <v>46</v>
      </c>
      <c r="AV10" s="118">
        <f t="shared" si="0"/>
        <v>47</v>
      </c>
      <c r="AW10" s="119">
        <f t="shared" si="0"/>
        <v>48</v>
      </c>
      <c r="AX10" s="144">
        <f t="shared" si="0"/>
        <v>49</v>
      </c>
      <c r="AY10" s="113">
        <f t="shared" si="0"/>
        <v>50</v>
      </c>
      <c r="AZ10" s="113">
        <f t="shared" si="0"/>
        <v>51</v>
      </c>
      <c r="BA10" s="120">
        <f t="shared" si="0"/>
        <v>52</v>
      </c>
      <c r="BB10" s="112">
        <f t="shared" si="0"/>
        <v>53</v>
      </c>
      <c r="BC10" s="113">
        <f t="shared" si="0"/>
        <v>54</v>
      </c>
      <c r="BD10" s="118">
        <f t="shared" si="0"/>
        <v>55</v>
      </c>
      <c r="BE10" s="119">
        <f t="shared" si="0"/>
        <v>56</v>
      </c>
      <c r="BF10" s="144">
        <f t="shared" si="0"/>
        <v>57</v>
      </c>
      <c r="BG10" s="113">
        <f t="shared" si="0"/>
        <v>58</v>
      </c>
      <c r="BH10" s="113">
        <f t="shared" si="0"/>
        <v>59</v>
      </c>
      <c r="BI10" s="120">
        <f t="shared" si="0"/>
        <v>60</v>
      </c>
      <c r="BJ10" s="112">
        <f t="shared" si="0"/>
        <v>61</v>
      </c>
      <c r="BK10" s="113">
        <f t="shared" si="0"/>
        <v>62</v>
      </c>
      <c r="BL10" s="118">
        <f t="shared" si="0"/>
        <v>63</v>
      </c>
      <c r="BM10" s="119">
        <f t="shared" si="0"/>
        <v>64</v>
      </c>
      <c r="BN10" s="144">
        <f t="shared" si="0"/>
        <v>65</v>
      </c>
      <c r="BO10" s="113">
        <f t="shared" si="0"/>
        <v>66</v>
      </c>
      <c r="BP10" s="113">
        <f t="shared" si="0"/>
        <v>67</v>
      </c>
      <c r="BQ10" s="120">
        <f t="shared" si="0"/>
        <v>68</v>
      </c>
    </row>
    <row r="11" spans="1:69" ht="45" x14ac:dyDescent="0.25">
      <c r="A11" t="s">
        <v>349</v>
      </c>
      <c r="B11" t="s">
        <v>385</v>
      </c>
      <c r="C11" t="s">
        <v>350</v>
      </c>
      <c r="D11" t="s">
        <v>364</v>
      </c>
      <c r="E11" t="s">
        <v>358</v>
      </c>
      <c r="F11" s="145" t="s">
        <v>284</v>
      </c>
      <c r="G11" s="146" t="s">
        <v>285</v>
      </c>
      <c r="H11" s="114" t="s">
        <v>333</v>
      </c>
      <c r="I11" s="115" t="s">
        <v>341</v>
      </c>
      <c r="J11" s="114" t="s">
        <v>286</v>
      </c>
      <c r="K11" s="116" t="s">
        <v>287</v>
      </c>
      <c r="L11" s="116" t="s">
        <v>288</v>
      </c>
      <c r="M11" s="117" t="s">
        <v>289</v>
      </c>
      <c r="N11" s="145" t="s">
        <v>290</v>
      </c>
      <c r="O11" s="146" t="s">
        <v>291</v>
      </c>
      <c r="P11" s="114" t="s">
        <v>334</v>
      </c>
      <c r="Q11" s="115" t="s">
        <v>342</v>
      </c>
      <c r="R11" s="114" t="s">
        <v>292</v>
      </c>
      <c r="S11" s="116" t="s">
        <v>293</v>
      </c>
      <c r="T11" s="116" t="s">
        <v>294</v>
      </c>
      <c r="U11" s="117" t="s">
        <v>295</v>
      </c>
      <c r="V11" s="145" t="s">
        <v>296</v>
      </c>
      <c r="W11" s="146" t="s">
        <v>297</v>
      </c>
      <c r="X11" s="114" t="s">
        <v>335</v>
      </c>
      <c r="Y11" s="115" t="s">
        <v>343</v>
      </c>
      <c r="Z11" s="114" t="s">
        <v>298</v>
      </c>
      <c r="AA11" s="116" t="s">
        <v>299</v>
      </c>
      <c r="AB11" s="116" t="s">
        <v>300</v>
      </c>
      <c r="AC11" s="117" t="s">
        <v>301</v>
      </c>
      <c r="AD11" s="145" t="s">
        <v>302</v>
      </c>
      <c r="AE11" s="146" t="s">
        <v>303</v>
      </c>
      <c r="AF11" s="114" t="s">
        <v>336</v>
      </c>
      <c r="AG11" s="115" t="s">
        <v>344</v>
      </c>
      <c r="AH11" s="114" t="s">
        <v>304</v>
      </c>
      <c r="AI11" s="116" t="s">
        <v>305</v>
      </c>
      <c r="AJ11" s="116" t="s">
        <v>306</v>
      </c>
      <c r="AK11" s="117" t="s">
        <v>307</v>
      </c>
      <c r="AL11" s="145" t="s">
        <v>308</v>
      </c>
      <c r="AM11" s="146" t="s">
        <v>309</v>
      </c>
      <c r="AN11" s="114" t="s">
        <v>337</v>
      </c>
      <c r="AO11" s="115" t="s">
        <v>345</v>
      </c>
      <c r="AP11" s="114" t="s">
        <v>310</v>
      </c>
      <c r="AQ11" s="116" t="s">
        <v>311</v>
      </c>
      <c r="AR11" s="116" t="s">
        <v>312</v>
      </c>
      <c r="AS11" s="117" t="s">
        <v>313</v>
      </c>
      <c r="AT11" s="145" t="s">
        <v>314</v>
      </c>
      <c r="AU11" s="146" t="s">
        <v>315</v>
      </c>
      <c r="AV11" s="114" t="s">
        <v>338</v>
      </c>
      <c r="AW11" s="115" t="s">
        <v>346</v>
      </c>
      <c r="AX11" s="114" t="s">
        <v>316</v>
      </c>
      <c r="AY11" s="116" t="s">
        <v>317</v>
      </c>
      <c r="AZ11" s="116" t="s">
        <v>318</v>
      </c>
      <c r="BA11" s="117" t="s">
        <v>319</v>
      </c>
      <c r="BB11" s="145" t="s">
        <v>321</v>
      </c>
      <c r="BC11" s="146" t="s">
        <v>322</v>
      </c>
      <c r="BD11" s="114" t="s">
        <v>339</v>
      </c>
      <c r="BE11" s="115" t="s">
        <v>347</v>
      </c>
      <c r="BF11" s="114" t="s">
        <v>323</v>
      </c>
      <c r="BG11" s="116" t="s">
        <v>324</v>
      </c>
      <c r="BH11" s="116" t="s">
        <v>325</v>
      </c>
      <c r="BI11" s="117" t="s">
        <v>326</v>
      </c>
      <c r="BJ11" s="145" t="s">
        <v>327</v>
      </c>
      <c r="BK11" s="146" t="s">
        <v>328</v>
      </c>
      <c r="BL11" s="114" t="s">
        <v>340</v>
      </c>
      <c r="BM11" s="115" t="s">
        <v>348</v>
      </c>
      <c r="BN11" s="114" t="s">
        <v>329</v>
      </c>
      <c r="BO11" s="116" t="s">
        <v>330</v>
      </c>
      <c r="BP11" s="116" t="s">
        <v>331</v>
      </c>
      <c r="BQ11" s="117" t="s">
        <v>332</v>
      </c>
    </row>
    <row r="12" spans="1:69" x14ac:dyDescent="0.25">
      <c r="A12" t="s">
        <v>353</v>
      </c>
      <c r="B12" t="s">
        <v>386</v>
      </c>
      <c r="C12" t="s">
        <v>50</v>
      </c>
      <c r="E12">
        <f>VLOOKUP($C12,stochastic_parameters_LN!$A$12:$BQ$83,stochastic_parameters_LN_add_ol!E$10,FALSE)</f>
        <v>0</v>
      </c>
      <c r="F12" s="148">
        <v>17</v>
      </c>
      <c r="G12" s="123">
        <f>VLOOKUP($C12,stochastic_parameters_LN!$A$12:$BQ$83,stochastic_parameters_LN_add_ol!G$10,FALSE)</f>
        <v>18</v>
      </c>
      <c r="H12" s="130">
        <f>VLOOKUP($C12,stochastic_parameters_LN!$A$12:$BQ$83,stochastic_parameters_LN_add_ol!H$10,FALSE)</f>
        <v>19</v>
      </c>
      <c r="I12" s="131">
        <f>VLOOKUP($C12,stochastic_parameters_LN!$A$12:$BQ$83,stochastic_parameters_LN_add_ol!I$10,FALSE)</f>
        <v>2.9174053685313024</v>
      </c>
      <c r="J12" s="130">
        <f>VLOOKUP($C12,stochastic_parameters_LN!$A$12:$BQ$83,stochastic_parameters_LN_add_ol!J$10,FALSE)</f>
        <v>1.6433805857226671E-2</v>
      </c>
      <c r="K12" s="133">
        <f>VLOOKUP($C12,stochastic_parameters_LN!$A$12:$BQ$83,stochastic_parameters_LN_add_ol!K$10,FALSE)</f>
        <v>18.493242008906925</v>
      </c>
      <c r="L12" s="133">
        <f>VLOOKUP($C12,stochastic_parameters_LN!$A$12:$BQ$83,stochastic_parameters_LN_add_ol!L$10,FALSE)</f>
        <v>18.495739412224619</v>
      </c>
      <c r="M12" s="134">
        <f>VLOOKUP($C12,stochastic_parameters_LN!$A$12:$BQ$83,stochastic_parameters_LN_add_ol!M$10,FALSE)</f>
        <v>0.30397591414727615</v>
      </c>
      <c r="N12" s="148">
        <f>VLOOKUP($C12,stochastic_parameters_LN!$A$12:$BQ$83,stochastic_parameters_LN_add_ol!N$10,FALSE)</f>
        <v>1.6434915489043144E-2</v>
      </c>
      <c r="O12" s="123">
        <f>VLOOKUP($C12,stochastic_parameters_LN!$A$12:$BQ$83,stochastic_parameters_LN_add_ol!O$10,FALSE)</f>
        <v>20</v>
      </c>
      <c r="P12" s="130">
        <f>VLOOKUP($C12,stochastic_parameters_LN!$A$12:$BQ$83,stochastic_parameters_LN_add_ol!P$10,FALSE)</f>
        <v>21</v>
      </c>
      <c r="Q12" s="131">
        <f>VLOOKUP($C12,stochastic_parameters_LN!$A$12:$BQ$83,stochastic_parameters_LN_add_ol!Q$10,FALSE)</f>
        <v>3.0201273556387069</v>
      </c>
      <c r="R12" s="132">
        <f>VLOOKUP($C12,stochastic_parameters_LN!$A$12:$BQ$83,stochastic_parameters_LN_add_ol!R$10,FALSE)</f>
        <v>1.4829837133566006E-2</v>
      </c>
      <c r="S12" s="132">
        <f>VLOOKUP($C12,stochastic_parameters_LN!$A$12:$BQ$83,stochastic_parameters_LN_add_ol!S$10,FALSE)</f>
        <v>20.493901531919196</v>
      </c>
      <c r="T12" s="133">
        <f>VLOOKUP($C12,stochastic_parameters_LN!$A$12:$BQ$83,stochastic_parameters_LN_add_ol!T$10,FALSE)</f>
        <v>20.496155206937743</v>
      </c>
      <c r="U12" s="134">
        <f>VLOOKUP($C12,stochastic_parameters_LN!$A$12:$BQ$83,stochastic_parameters_LN_add_ol!U$10,FALSE)</f>
        <v>0.30397135608439629</v>
      </c>
      <c r="V12" s="148">
        <f>VLOOKUP($C12,stochastic_parameters_LN!$A$12:$BQ$83,stochastic_parameters_LN_add_ol!V$10,FALSE)</f>
        <v>1.4830652530456298E-2</v>
      </c>
      <c r="W12" s="140">
        <f>VLOOKUP($C12,stochastic_parameters_LN!$A$12:$BQ$83,stochastic_parameters_LN_add_ol!W$10,FALSE)</f>
        <v>33.200000000000003</v>
      </c>
      <c r="X12" s="130">
        <f>VLOOKUP($C12,stochastic_parameters_LN!$A$12:$BQ$83,stochastic_parameters_LN_add_ol!X$10,FALSE)</f>
        <v>34.812046266525151</v>
      </c>
      <c r="Y12" s="131">
        <f>VLOOKUP($C12,stochastic_parameters_LN!$A$12:$BQ$83,stochastic_parameters_LN_add_ol!Y$10,FALSE)</f>
        <v>3.5262566799441935</v>
      </c>
      <c r="Z12" s="130">
        <f>VLOOKUP($C12,stochastic_parameters_LN!$A$12:$BQ$83,stochastic_parameters_LN_add_ol!Z$10,FALSE)</f>
        <v>1.4411431016261522E-2</v>
      </c>
      <c r="AA12" s="133">
        <f>VLOOKUP($C12,stochastic_parameters_LN!$A$12:$BQ$83,stochastic_parameters_LN_add_ol!AA$10,FALSE)</f>
        <v>33.996469464469918</v>
      </c>
      <c r="AB12" s="133">
        <f>VLOOKUP($C12,stochastic_parameters_LN!$A$12:$BQ$83,stochastic_parameters_LN_add_ol!AB$10,FALSE)</f>
        <v>34</v>
      </c>
      <c r="AC12" s="134">
        <f>VLOOKUP($C12,stochastic_parameters_LN!$A$12:$BQ$83,stochastic_parameters_LN_add_ol!AC$10,FALSE)</f>
        <v>0.49001409700939824</v>
      </c>
      <c r="AD12" s="148">
        <f>VLOOKUP($C12,stochastic_parameters_LN!$A$12:$BQ$83,stochastic_parameters_LN_add_ol!AD$10,FALSE)</f>
        <v>1.441217932380583E-2</v>
      </c>
      <c r="AE12" s="140" t="str">
        <f>VLOOKUP($C12,stochastic_parameters_LN!$A$12:$BQ$83,stochastic_parameters_LN_add_ol!AE$10,FALSE)</f>
        <v>-</v>
      </c>
      <c r="AF12" s="130" t="str">
        <f>VLOOKUP($C12,stochastic_parameters_LN!$A$12:$BQ$83,stochastic_parameters_LN_add_ol!AF$10,FALSE)</f>
        <v>-</v>
      </c>
      <c r="AG12" s="131" t="str">
        <f>VLOOKUP($C12,stochastic_parameters_LN!$A$12:$BQ$83,stochastic_parameters_LN_add_ol!AG$10,FALSE)</f>
        <v>-</v>
      </c>
      <c r="AH12" s="130" t="str">
        <f>VLOOKUP($C12,stochastic_parameters_LN!$A$12:$BQ$83,stochastic_parameters_LN_add_ol!AH$10,FALSE)</f>
        <v>-</v>
      </c>
      <c r="AI12" s="133" t="str">
        <f>VLOOKUP($C12,stochastic_parameters_LN!$A$12:$BQ$83,stochastic_parameters_LN_add_ol!AI$10,FALSE)</f>
        <v>-</v>
      </c>
      <c r="AJ12" s="133" t="str">
        <f>VLOOKUP($C12,stochastic_parameters_LN!$A$12:$BQ$83,stochastic_parameters_LN_add_ol!AJ$10,FALSE)</f>
        <v>-</v>
      </c>
      <c r="AK12" s="134" t="str">
        <f>VLOOKUP($C12,stochastic_parameters_LN!$A$12:$BQ$83,stochastic_parameters_LN_add_ol!AK$10,FALSE)</f>
        <v>-</v>
      </c>
      <c r="AL12" s="148" t="str">
        <f>VLOOKUP($C12,stochastic_parameters_LN!$A$12:$BQ$83,stochastic_parameters_LN_add_ol!AL$10,FALSE)</f>
        <v>-</v>
      </c>
      <c r="AM12" s="140" t="str">
        <f>VLOOKUP($C12,stochastic_parameters_LN!$A$12:$BQ$83,stochastic_parameters_LN_add_ol!AM$10,FALSE)</f>
        <v>-</v>
      </c>
      <c r="AN12" s="130" t="str">
        <f>VLOOKUP($C12,stochastic_parameters_LN!$A$12:$BQ$83,stochastic_parameters_LN_add_ol!AN$10,FALSE)</f>
        <v>-</v>
      </c>
      <c r="AO12" s="131" t="str">
        <f>VLOOKUP($C12,stochastic_parameters_LN!$A$12:$BQ$83,stochastic_parameters_LN_add_ol!AO$10,FALSE)</f>
        <v>-</v>
      </c>
      <c r="AP12" s="130" t="str">
        <f>VLOOKUP($C12,stochastic_parameters_LN!$A$12:$BQ$83,stochastic_parameters_LN_add_ol!AP$10,FALSE)</f>
        <v>-</v>
      </c>
      <c r="AQ12" s="133" t="str">
        <f>VLOOKUP($C12,stochastic_parameters_LN!$A$12:$BQ$83,stochastic_parameters_LN_add_ol!AQ$10,FALSE)</f>
        <v>-</v>
      </c>
      <c r="AR12" s="133" t="str">
        <f>VLOOKUP($C12,stochastic_parameters_LN!$A$12:$BQ$83,stochastic_parameters_LN_add_ol!AR$10,FALSE)</f>
        <v>-</v>
      </c>
      <c r="AS12" s="134" t="str">
        <f>VLOOKUP($C12,stochastic_parameters_LN!$A$12:$BQ$83,stochastic_parameters_LN_add_ol!AS$10,FALSE)</f>
        <v>-</v>
      </c>
      <c r="AT12" s="148" t="str">
        <f>VLOOKUP($C12,stochastic_parameters_LN!$A$12:$BQ$83,stochastic_parameters_LN_add_ol!AT$10,FALSE)</f>
        <v>-</v>
      </c>
      <c r="AU12" s="140" t="str">
        <f>VLOOKUP($C12,stochastic_parameters_LN!$A$12:$BQ$83,stochastic_parameters_LN_add_ol!AU$10,FALSE)</f>
        <v>-</v>
      </c>
      <c r="AV12" s="130" t="str">
        <f>VLOOKUP($C12,stochastic_parameters_LN!$A$12:$BQ$83,stochastic_parameters_LN_add_ol!AV$10,FALSE)</f>
        <v>-</v>
      </c>
      <c r="AW12" s="131" t="str">
        <f>VLOOKUP($C12,stochastic_parameters_LN!$A$12:$BQ$83,stochastic_parameters_LN_add_ol!AW$10,FALSE)</f>
        <v>-</v>
      </c>
      <c r="AX12" s="130" t="str">
        <f>VLOOKUP($C12,stochastic_parameters_LN!$A$12:$BQ$83,stochastic_parameters_LN_add_ol!AX$10,FALSE)</f>
        <v>-</v>
      </c>
      <c r="AY12" s="133" t="str">
        <f>VLOOKUP($C12,stochastic_parameters_LN!$A$12:$BQ$83,stochastic_parameters_LN_add_ol!AY$10,FALSE)</f>
        <v>-</v>
      </c>
      <c r="AZ12" s="133" t="str">
        <f>VLOOKUP($C12,stochastic_parameters_LN!$A$12:$BQ$83,stochastic_parameters_LN_add_ol!AZ$10,FALSE)</f>
        <v>-</v>
      </c>
      <c r="BA12" s="134" t="str">
        <f>VLOOKUP($C12,stochastic_parameters_LN!$A$12:$BQ$83,stochastic_parameters_LN_add_ol!BA$10,FALSE)</f>
        <v>-</v>
      </c>
      <c r="BB12" s="148" t="str">
        <f>VLOOKUP($C12,stochastic_parameters_LN!$A$12:$BQ$83,stochastic_parameters_LN_add_ol!BB$10,FALSE)</f>
        <v>-</v>
      </c>
      <c r="BC12" s="140" t="str">
        <f>VLOOKUP($C12,stochastic_parameters_LN!$A$12:$BQ$83,stochastic_parameters_LN_add_ol!BC$10,FALSE)</f>
        <v>-</v>
      </c>
      <c r="BD12" s="130" t="str">
        <f>VLOOKUP($C12,stochastic_parameters_LN!$A$12:$BQ$83,stochastic_parameters_LN_add_ol!BD$10,FALSE)</f>
        <v>-</v>
      </c>
      <c r="BE12" s="131" t="str">
        <f>VLOOKUP($C12,stochastic_parameters_LN!$A$12:$BQ$83,stochastic_parameters_LN_add_ol!BE$10,FALSE)</f>
        <v>-</v>
      </c>
      <c r="BF12" s="130" t="str">
        <f>VLOOKUP($C12,stochastic_parameters_LN!$A$12:$BQ$83,stochastic_parameters_LN_add_ol!BF$10,FALSE)</f>
        <v>-</v>
      </c>
      <c r="BG12" s="133" t="str">
        <f>VLOOKUP($C12,stochastic_parameters_LN!$A$12:$BQ$83,stochastic_parameters_LN_add_ol!BG$10,FALSE)</f>
        <v>-</v>
      </c>
      <c r="BH12" s="133" t="str">
        <f>VLOOKUP($C12,stochastic_parameters_LN!$A$12:$BQ$83,stochastic_parameters_LN_add_ol!BH$10,FALSE)</f>
        <v>-</v>
      </c>
      <c r="BI12" s="134" t="str">
        <f>VLOOKUP($C12,stochastic_parameters_LN!$A$12:$BQ$83,stochastic_parameters_LN_add_ol!BI$10,FALSE)</f>
        <v>-</v>
      </c>
      <c r="BJ12" s="148" t="str">
        <f>VLOOKUP($C12,stochastic_parameters_LN!$A$12:$BQ$83,stochastic_parameters_LN_add_ol!BJ$10,FALSE)</f>
        <v>-</v>
      </c>
      <c r="BK12" s="123">
        <f>VLOOKUP($C12,stochastic_parameters_LN!$A$12:$BQ$83,stochastic_parameters_LN_add_ol!BK$10,FALSE)</f>
        <v>103</v>
      </c>
      <c r="BL12" s="130">
        <f>VLOOKUP($C12,stochastic_parameters_LN!$A$12:$BQ$83,stochastic_parameters_LN_add_ol!BL$10,FALSE)</f>
        <v>103</v>
      </c>
      <c r="BM12" s="131">
        <f>VLOOKUP($C12,stochastic_parameters_LN!$A$12:$BQ$83,stochastic_parameters_LN_add_ol!BM$10,FALSE)</f>
        <v>4.6347289882296359</v>
      </c>
      <c r="BN12" s="130">
        <f>VLOOKUP($C12,stochastic_parameters_LN!$A$12:$BQ$83,stochastic_parameters_LN_add_ol!BN$10,FALSE)</f>
        <v>0</v>
      </c>
      <c r="BO12" s="133">
        <f>VLOOKUP($C12,stochastic_parameters_LN!$A$12:$BQ$83,stochastic_parameters_LN_add_ol!BO$10,FALSE)</f>
        <v>103.00000000000001</v>
      </c>
      <c r="BP12" s="133">
        <f>VLOOKUP($C12,stochastic_parameters_LN!$A$12:$BQ$83,stochastic_parameters_LN_add_ol!BP$10,FALSE)</f>
        <v>103.00000000000001</v>
      </c>
      <c r="BQ12" s="134">
        <f>VLOOKUP($C12,stochastic_parameters_LN!$A$12:$BQ$83,stochastic_parameters_LN_add_ol!BQ$10,FALSE)</f>
        <v>0</v>
      </c>
    </row>
    <row r="13" spans="1:69" x14ac:dyDescent="0.25">
      <c r="A13" t="s">
        <v>148</v>
      </c>
      <c r="B13" t="s">
        <v>383</v>
      </c>
      <c r="C13" t="s">
        <v>144</v>
      </c>
      <c r="E13">
        <f>VLOOKUP($C13,stochastic_parameters_LN!$A$12:$BQ$83,stochastic_parameters_LN_add_ol!E$10,FALSE)</f>
        <v>0</v>
      </c>
      <c r="F13" s="148">
        <v>12</v>
      </c>
      <c r="G13" s="123">
        <f>VLOOKUP($C13,stochastic_parameters_LN!$A$12:$BQ$83,stochastic_parameters_LN_add_ol!G$10,FALSE)</f>
        <v>13</v>
      </c>
      <c r="H13" s="130">
        <f>VLOOKUP($C13,stochastic_parameters_LN!$A$12:$BQ$83,stochastic_parameters_LN_add_ol!H$10,FALSE)</f>
        <v>15</v>
      </c>
      <c r="I13" s="131">
        <f>VLOOKUP($C13,stochastic_parameters_LN!$A$12:$BQ$83,stochastic_parameters_LN_add_ol!I$10,FALSE)</f>
        <v>2.6364997792818734</v>
      </c>
      <c r="J13" s="130">
        <f>VLOOKUP($C13,stochastic_parameters_LN!$A$12:$BQ$83,stochastic_parameters_LN_add_ol!J$10,FALSE)</f>
        <v>4.3495697155219858E-2</v>
      </c>
      <c r="K13" s="133">
        <f>VLOOKUP($C13,stochastic_parameters_LN!$A$12:$BQ$83,stochastic_parameters_LN_add_ol!K$10,FALSE)</f>
        <v>13.964240043768941</v>
      </c>
      <c r="L13" s="133">
        <f>VLOOKUP($C13,stochastic_parameters_LN!$A$12:$BQ$83,stochastic_parameters_LN_add_ol!L$10,FALSE)</f>
        <v>13.977455596330634</v>
      </c>
      <c r="M13" s="134">
        <f>VLOOKUP($C13,stochastic_parameters_LN!$A$12:$BQ$83,stochastic_parameters_LN_add_ol!M$10,FALSE)</f>
        <v>0.60824683477754204</v>
      </c>
      <c r="N13" s="148">
        <f>VLOOKUP($C13,stochastic_parameters_LN!$A$12:$BQ$83,stochastic_parameters_LN_add_ol!N$10,FALSE)</f>
        <v>4.3516277378639584E-2</v>
      </c>
      <c r="O13" s="123">
        <f>VLOOKUP($C13,stochastic_parameters_LN!$A$12:$BQ$83,stochastic_parameters_LN_add_ol!O$10,FALSE)</f>
        <v>13</v>
      </c>
      <c r="P13" s="130">
        <f>VLOOKUP($C13,stochastic_parameters_LN!$A$12:$BQ$83,stochastic_parameters_LN_add_ol!P$10,FALSE)</f>
        <v>15</v>
      </c>
      <c r="Q13" s="131">
        <f>VLOOKUP($C13,stochastic_parameters_LN!$A$12:$BQ$83,stochastic_parameters_LN_add_ol!Q$10,FALSE)</f>
        <v>2.6364997792818734</v>
      </c>
      <c r="R13" s="132">
        <f>VLOOKUP($C13,stochastic_parameters_LN!$A$12:$BQ$83,stochastic_parameters_LN_add_ol!R$10,FALSE)</f>
        <v>4.3495697155219858E-2</v>
      </c>
      <c r="S13" s="132">
        <f>VLOOKUP($C13,stochastic_parameters_LN!$A$12:$BQ$83,stochastic_parameters_LN_add_ol!S$10,FALSE)</f>
        <v>13.964240043768941</v>
      </c>
      <c r="T13" s="133">
        <f>VLOOKUP($C13,stochastic_parameters_LN!$A$12:$BQ$83,stochastic_parameters_LN_add_ol!T$10,FALSE)</f>
        <v>13.977455596330634</v>
      </c>
      <c r="U13" s="134">
        <f>VLOOKUP($C13,stochastic_parameters_LN!$A$12:$BQ$83,stochastic_parameters_LN_add_ol!U$10,FALSE)</f>
        <v>0.60824683477754204</v>
      </c>
      <c r="V13" s="148">
        <f>VLOOKUP($C13,stochastic_parameters_LN!$A$12:$BQ$83,stochastic_parameters_LN_add_ol!V$10,FALSE)</f>
        <v>4.3516277378639584E-2</v>
      </c>
      <c r="W13" s="140">
        <f>VLOOKUP($C13,stochastic_parameters_LN!$A$12:$BQ$83,stochastic_parameters_LN_add_ol!W$10,FALSE)</f>
        <v>37</v>
      </c>
      <c r="X13" s="130">
        <f>VLOOKUP($C13,stochastic_parameters_LN!$A$12:$BQ$83,stochastic_parameters_LN_add_ol!X$10,FALSE)</f>
        <v>51.781071506430919</v>
      </c>
      <c r="Y13" s="131">
        <f>VLOOKUP($C13,stochastic_parameters_LN!$A$12:$BQ$83,stochastic_parameters_LN_add_ol!Y$10,FALSE)</f>
        <v>3.778971290097795</v>
      </c>
      <c r="Z13" s="130">
        <f>VLOOKUP($C13,stochastic_parameters_LN!$A$12:$BQ$83,stochastic_parameters_LN_add_ol!Z$10,FALSE)</f>
        <v>0.10216010787451113</v>
      </c>
      <c r="AA13" s="133">
        <f>VLOOKUP($C13,stochastic_parameters_LN!$A$12:$BQ$83,stochastic_parameters_LN_add_ol!AA$10,FALSE)</f>
        <v>43.77099091565033</v>
      </c>
      <c r="AB13" s="133">
        <f>VLOOKUP($C13,stochastic_parameters_LN!$A$12:$BQ$83,stochastic_parameters_LN_add_ol!AB$10,FALSE)</f>
        <v>44</v>
      </c>
      <c r="AC13" s="134">
        <f>VLOOKUP($C13,stochastic_parameters_LN!$A$12:$BQ$83,stochastic_parameters_LN_add_ol!AC$10,FALSE)</f>
        <v>4.5067986319898123</v>
      </c>
      <c r="AD13" s="148">
        <f>VLOOKUP($C13,stochastic_parameters_LN!$A$12:$BQ$83,stochastic_parameters_LN_add_ol!AD$10,FALSE)</f>
        <v>0.10242724163613209</v>
      </c>
      <c r="AE13" s="140">
        <f>VLOOKUP($C13,stochastic_parameters_LN!$A$12:$BQ$83,stochastic_parameters_LN_add_ol!AE$10,FALSE)</f>
        <v>0.30599999999999999</v>
      </c>
      <c r="AF13" s="130">
        <f>VLOOKUP($C13,stochastic_parameters_LN!$A$12:$BQ$83,stochastic_parameters_LN_add_ol!AF$10,FALSE)</f>
        <v>0.32416509461390947</v>
      </c>
      <c r="AG13" s="131">
        <f>VLOOKUP($C13,stochastic_parameters_LN!$A$12:$BQ$83,stochastic_parameters_LN_add_ol!AG$10,FALSE)</f>
        <v>-1.155336259359617</v>
      </c>
      <c r="AH13" s="130">
        <f>VLOOKUP($C13,stochastic_parameters_LN!$A$12:$BQ$83,stochastic_parameters_LN_add_ol!AH$10,FALSE)</f>
        <v>1.7528217428655957E-2</v>
      </c>
      <c r="AI13" s="133">
        <f>VLOOKUP($C13,stochastic_parameters_LN!$A$12:$BQ$83,stochastic_parameters_LN_add_ol!AI$10,FALSE)</f>
        <v>0.31495161366764945</v>
      </c>
      <c r="AJ13" s="133">
        <f>VLOOKUP($C13,stochastic_parameters_LN!$A$12:$BQ$83,stochastic_parameters_LN_add_ol!AJ$10,FALSE)</f>
        <v>0.315</v>
      </c>
      <c r="AK13" s="134">
        <f>VLOOKUP($C13,stochastic_parameters_LN!$A$12:$BQ$83,stochastic_parameters_LN_add_ol!AK$10,FALSE)</f>
        <v>5.5218126128229921E-3</v>
      </c>
      <c r="AL13" s="148">
        <f>VLOOKUP($C13,stochastic_parameters_LN!$A$12:$BQ$83,stochastic_parameters_LN_add_ol!AL$10,FALSE)</f>
        <v>1.752956385023172E-2</v>
      </c>
      <c r="AM13" s="140">
        <f>VLOOKUP($C13,stochastic_parameters_LN!$A$12:$BQ$83,stochastic_parameters_LN_add_ol!AM$10,FALSE)</f>
        <v>0.89100000000000001</v>
      </c>
      <c r="AN13" s="130">
        <f>VLOOKUP($C13,stochastic_parameters_LN!$A$12:$BQ$83,stochastic_parameters_LN_add_ol!AN$10,FALSE)</f>
        <v>0.90905710104543691</v>
      </c>
      <c r="AO13" s="131">
        <f>VLOOKUP($C13,stochastic_parameters_LN!$A$12:$BQ$83,stochastic_parameters_LN_add_ol!AO$10,FALSE)</f>
        <v>-0.10537911042859724</v>
      </c>
      <c r="AP13" s="130">
        <f>VLOOKUP($C13,stochastic_parameters_LN!$A$12:$BQ$83,stochastic_parameters_LN_add_ol!AP$10,FALSE)</f>
        <v>6.0983228466446882E-3</v>
      </c>
      <c r="AQ13" s="133">
        <f>VLOOKUP($C13,stochastic_parameters_LN!$A$12:$BQ$83,stochastic_parameters_LN_add_ol!AQ$10,FALSE)</f>
        <v>0.89998326486189961</v>
      </c>
      <c r="AR13" s="133">
        <f>VLOOKUP($C13,stochastic_parameters_LN!$A$12:$BQ$83,stochastic_parameters_LN_add_ol!AR$10,FALSE)</f>
        <v>0.9</v>
      </c>
      <c r="AS13" s="134">
        <f>VLOOKUP($C13,stochastic_parameters_LN!$A$12:$BQ$83,stochastic_parameters_LN_add_ol!AS$10,FALSE)</f>
        <v>5.4885415909943875E-3</v>
      </c>
      <c r="AT13" s="148">
        <f>VLOOKUP($C13,stochastic_parameters_LN!$A$12:$BQ$83,stochastic_parameters_LN_add_ol!AT$10,FALSE)</f>
        <v>6.0983795455493194E-3</v>
      </c>
      <c r="AU13" s="140">
        <f>VLOOKUP($C13,stochastic_parameters_LN!$A$12:$BQ$83,stochastic_parameters_LN_add_ol!AU$10,FALSE)</f>
        <v>5.67</v>
      </c>
      <c r="AV13" s="130">
        <f>VLOOKUP($C13,stochastic_parameters_LN!$A$12:$BQ$83,stochastic_parameters_LN_add_ol!AV$10,FALSE)</f>
        <v>38.585736192824157</v>
      </c>
      <c r="AW13" s="131">
        <f>VLOOKUP($C13,stochastic_parameters_LN!$A$12:$BQ$83,stochastic_parameters_LN_add_ol!AW$10,FALSE)</f>
        <v>2.694035898617293</v>
      </c>
      <c r="AX13" s="130">
        <f>VLOOKUP($C13,stochastic_parameters_LN!$A$12:$BQ$83,stochastic_parameters_LN_add_ol!AX$10,FALSE)</f>
        <v>0.58288558108062727</v>
      </c>
      <c r="AY13" s="133">
        <f>VLOOKUP($C13,stochastic_parameters_LN!$A$12:$BQ$83,stochastic_parameters_LN_add_ol!AY$10,FALSE)</f>
        <v>14.791251610776996</v>
      </c>
      <c r="AZ13" s="133">
        <f>VLOOKUP($C13,stochastic_parameters_LN!$A$12:$BQ$83,stochastic_parameters_LN_add_ol!AZ$10,FALSE)</f>
        <v>17.53</v>
      </c>
      <c r="BA13" s="134">
        <f>VLOOKUP($C13,stochastic_parameters_LN!$A$12:$BQ$83,stochastic_parameters_LN_add_ol!BA$10,FALSE)</f>
        <v>11.150571937682336</v>
      </c>
      <c r="BB13" s="148">
        <f>VLOOKUP($C13,stochastic_parameters_LN!$A$12:$BQ$83,stochastic_parameters_LN_add_ol!BB$10,FALSE)</f>
        <v>0.63608510768296267</v>
      </c>
      <c r="BC13" s="140">
        <f>VLOOKUP($C13,stochastic_parameters_LN!$A$12:$BQ$83,stochastic_parameters_LN_add_ol!BC$10,FALSE)</f>
        <v>4.0999999999999996</v>
      </c>
      <c r="BD13" s="130">
        <f>VLOOKUP($C13,stochastic_parameters_LN!$A$12:$BQ$83,stochastic_parameters_LN_add_ol!BD$10,FALSE)</f>
        <v>4.0999999999999996</v>
      </c>
      <c r="BE13" s="131">
        <f>VLOOKUP($C13,stochastic_parameters_LN!$A$12:$BQ$83,stochastic_parameters_LN_add_ol!BE$10,FALSE)</f>
        <v>1.410986973710262</v>
      </c>
      <c r="BF13" s="130">
        <f>VLOOKUP($C13,stochastic_parameters_LN!$A$12:$BQ$83,stochastic_parameters_LN_add_ol!BF$10,FALSE)</f>
        <v>0</v>
      </c>
      <c r="BG13" s="133">
        <f>VLOOKUP($C13,stochastic_parameters_LN!$A$12:$BQ$83,stochastic_parameters_LN_add_ol!BG$10,FALSE)</f>
        <v>4.0999999999999996</v>
      </c>
      <c r="BH13" s="133">
        <f>VLOOKUP($C13,stochastic_parameters_LN!$A$12:$BQ$83,stochastic_parameters_LN_add_ol!BH$10,FALSE)</f>
        <v>4.0999999999999996</v>
      </c>
      <c r="BI13" s="134">
        <f>VLOOKUP($C13,stochastic_parameters_LN!$A$12:$BQ$83,stochastic_parameters_LN_add_ol!BI$10,FALSE)</f>
        <v>0</v>
      </c>
      <c r="BJ13" s="148">
        <f>VLOOKUP($C13,stochastic_parameters_LN!$A$12:$BQ$83,stochastic_parameters_LN_add_ol!BJ$10,FALSE)</f>
        <v>0</v>
      </c>
      <c r="BK13" s="123">
        <f>VLOOKUP($C13,stochastic_parameters_LN!$A$12:$BQ$83,stochastic_parameters_LN_add_ol!BK$10,FALSE)</f>
        <v>45</v>
      </c>
      <c r="BL13" s="130">
        <f>VLOOKUP($C13,stochastic_parameters_LN!$A$12:$BQ$83,stochastic_parameters_LN_add_ol!BL$10,FALSE)</f>
        <v>90</v>
      </c>
      <c r="BM13" s="131">
        <f>VLOOKUP($C13,stochastic_parameters_LN!$A$12:$BQ$83,stochastic_parameters_LN_add_ol!BM$10,FALSE)</f>
        <v>4.1532360800502923</v>
      </c>
      <c r="BN13" s="130">
        <f>VLOOKUP($C13,stochastic_parameters_LN!$A$12:$BQ$83,stochastic_parameters_LN_add_ol!BN$10,FALSE)</f>
        <v>0.21068303360484664</v>
      </c>
      <c r="BO13" s="133">
        <f>VLOOKUP($C13,stochastic_parameters_LN!$A$12:$BQ$83,stochastic_parameters_LN_add_ol!BO$10,FALSE)</f>
        <v>63.639610306789272</v>
      </c>
      <c r="BP13" s="133">
        <f>VLOOKUP($C13,stochastic_parameters_LN!$A$12:$BQ$83,stochastic_parameters_LN_add_ol!BP$10,FALSE)</f>
        <v>65.067796563300135</v>
      </c>
      <c r="BQ13" s="134">
        <f>VLOOKUP($C13,stochastic_parameters_LN!$A$12:$BQ$83,stochastic_parameters_LN_add_ol!BQ$10,FALSE)</f>
        <v>13.862219888992817</v>
      </c>
    </row>
    <row r="14" spans="1:69" x14ac:dyDescent="0.25">
      <c r="A14" t="s">
        <v>357</v>
      </c>
      <c r="B14" t="s">
        <v>382</v>
      </c>
      <c r="C14" t="s">
        <v>134</v>
      </c>
      <c r="E14">
        <f>VLOOKUP($C14,stochastic_parameters_LN!$A$12:$BQ$83,stochastic_parameters_LN_add_ol!E$10,FALSE)</f>
        <v>0</v>
      </c>
      <c r="F14" s="148">
        <v>16</v>
      </c>
      <c r="G14" s="123">
        <f>VLOOKUP($C14,stochastic_parameters_LN!$A$12:$BQ$83,stochastic_parameters_LN_add_ol!G$10,FALSE)</f>
        <v>17</v>
      </c>
      <c r="H14" s="130">
        <f>VLOOKUP($C14,stochastic_parameters_LN!$A$12:$BQ$83,stochastic_parameters_LN_add_ol!H$10,FALSE)</f>
        <v>18</v>
      </c>
      <c r="I14" s="131">
        <f>VLOOKUP($C14,stochastic_parameters_LN!$A$12:$BQ$83,stochastic_parameters_LN_add_ol!I$10,FALSE)</f>
        <v>2.8617925509761903</v>
      </c>
      <c r="J14" s="130">
        <f>VLOOKUP($C14,stochastic_parameters_LN!$A$12:$BQ$83,stochastic_parameters_LN_add_ol!J$10,FALSE)</f>
        <v>1.7373378066853601E-2</v>
      </c>
      <c r="K14" s="133">
        <f>VLOOKUP($C14,stochastic_parameters_LN!$A$12:$BQ$83,stochastic_parameters_LN_add_ol!K$10,FALSE)</f>
        <v>17.4928556845359</v>
      </c>
      <c r="L14" s="133">
        <f>VLOOKUP($C14,stochastic_parameters_LN!$A$12:$BQ$83,stochastic_parameters_LN_add_ol!L$10,FALSE)</f>
        <v>17.495495855377509</v>
      </c>
      <c r="M14" s="134">
        <f>VLOOKUP($C14,stochastic_parameters_LN!$A$12:$BQ$83,stochastic_parameters_LN_add_ol!M$10,FALSE)</f>
        <v>0.30397880147861883</v>
      </c>
      <c r="N14" s="148">
        <f>VLOOKUP($C14,stochastic_parameters_LN!$A$12:$BQ$83,stochastic_parameters_LN_add_ol!N$10,FALSE)</f>
        <v>1.7374689119496221E-2</v>
      </c>
      <c r="O14" s="123">
        <f>VLOOKUP($C14,stochastic_parameters_LN!$A$12:$BQ$83,stochastic_parameters_LN_add_ol!O$10,FALSE)</f>
        <v>19</v>
      </c>
      <c r="P14" s="130">
        <f>VLOOKUP($C14,stochastic_parameters_LN!$A$12:$BQ$83,stochastic_parameters_LN_add_ol!P$10,FALSE)</f>
        <v>20</v>
      </c>
      <c r="Q14" s="131">
        <f>VLOOKUP($C14,stochastic_parameters_LN!$A$12:$BQ$83,stochastic_parameters_LN_add_ol!Q$10,FALSE)</f>
        <v>2.9700856263602153</v>
      </c>
      <c r="R14" s="132">
        <f>VLOOKUP($C14,stochastic_parameters_LN!$A$12:$BQ$83,stochastic_parameters_LN_add_ol!R$10,FALSE)</f>
        <v>1.5590666987097445E-2</v>
      </c>
      <c r="S14" s="132">
        <f>VLOOKUP($C14,stochastic_parameters_LN!$A$12:$BQ$83,stochastic_parameters_LN_add_ol!S$10,FALSE)</f>
        <v>19.493588689617919</v>
      </c>
      <c r="T14" s="133">
        <f>VLOOKUP($C14,stochastic_parameters_LN!$A$12:$BQ$83,stochastic_parameters_LN_add_ol!T$10,FALSE)</f>
        <v>19.495957976141646</v>
      </c>
      <c r="U14" s="134">
        <f>VLOOKUP($C14,stochastic_parameters_LN!$A$12:$BQ$83,stochastic_parameters_LN_add_ol!U$10,FALSE)</f>
        <v>0.30397345983682589</v>
      </c>
      <c r="V14" s="148">
        <f>VLOOKUP($C14,stochastic_parameters_LN!$A$12:$BQ$83,stochastic_parameters_LN_add_ol!V$10,FALSE)</f>
        <v>1.5591614436634309E-2</v>
      </c>
      <c r="W14" s="140">
        <f>VLOOKUP($C14,stochastic_parameters_LN!$A$12:$BQ$83,stochastic_parameters_LN_add_ol!W$10,FALSE)</f>
        <v>31</v>
      </c>
      <c r="X14" s="130">
        <f>VLOOKUP($C14,stochastic_parameters_LN!$A$12:$BQ$83,stochastic_parameters_LN_add_ol!X$10,FALSE)</f>
        <v>33.020098242525378</v>
      </c>
      <c r="Y14" s="131">
        <f>VLOOKUP($C14,stochastic_parameters_LN!$A$12:$BQ$83,stochastic_parameters_LN_add_ol!Y$10,FALSE)</f>
        <v>3.4655518091078741</v>
      </c>
      <c r="Z14" s="130">
        <f>VLOOKUP($C14,stochastic_parameters_LN!$A$12:$BQ$83,stochastic_parameters_LN_add_ol!Z$10,FALSE)</f>
        <v>1.9188209497098985E-2</v>
      </c>
      <c r="AA14" s="133">
        <f>VLOOKUP($C14,stochastic_parameters_LN!$A$12:$BQ$83,stochastic_parameters_LN_add_ol!AA$10,FALSE)</f>
        <v>31.994109544075247</v>
      </c>
      <c r="AB14" s="133">
        <f>VLOOKUP($C14,stochastic_parameters_LN!$A$12:$BQ$83,stochastic_parameters_LN_add_ol!AB$10,FALSE)</f>
        <v>32</v>
      </c>
      <c r="AC14" s="134">
        <f>VLOOKUP($C14,stochastic_parameters_LN!$A$12:$BQ$83,stochastic_parameters_LN_add_ol!AC$10,FALSE)</f>
        <v>0.61407922709602392</v>
      </c>
      <c r="AD14" s="148">
        <f>VLOOKUP($C14,stochastic_parameters_LN!$A$12:$BQ$83,stochastic_parameters_LN_add_ol!AD$10,FALSE)</f>
        <v>1.9189975846750747E-2</v>
      </c>
      <c r="AE14" s="140" t="str">
        <f>VLOOKUP($C14,stochastic_parameters_LN!$A$12:$BQ$83,stochastic_parameters_LN_add_ol!AE$10,FALSE)</f>
        <v>-</v>
      </c>
      <c r="AF14" s="130" t="str">
        <f>VLOOKUP($C14,stochastic_parameters_LN!$A$12:$BQ$83,stochastic_parameters_LN_add_ol!AF$10,FALSE)</f>
        <v>-</v>
      </c>
      <c r="AG14" s="131" t="str">
        <f>VLOOKUP($C14,stochastic_parameters_LN!$A$12:$BQ$83,stochastic_parameters_LN_add_ol!AG$10,FALSE)</f>
        <v>-</v>
      </c>
      <c r="AH14" s="130" t="str">
        <f>VLOOKUP($C14,stochastic_parameters_LN!$A$12:$BQ$83,stochastic_parameters_LN_add_ol!AH$10,FALSE)</f>
        <v>-</v>
      </c>
      <c r="AI14" s="133" t="str">
        <f>VLOOKUP($C14,stochastic_parameters_LN!$A$12:$BQ$83,stochastic_parameters_LN_add_ol!AI$10,FALSE)</f>
        <v>-</v>
      </c>
      <c r="AJ14" s="133" t="str">
        <f>VLOOKUP($C14,stochastic_parameters_LN!$A$12:$BQ$83,stochastic_parameters_LN_add_ol!AJ$10,FALSE)</f>
        <v>-</v>
      </c>
      <c r="AK14" s="134" t="str">
        <f>VLOOKUP($C14,stochastic_parameters_LN!$A$12:$BQ$83,stochastic_parameters_LN_add_ol!AK$10,FALSE)</f>
        <v>-</v>
      </c>
      <c r="AL14" s="148" t="str">
        <f>VLOOKUP($C14,stochastic_parameters_LN!$A$12:$BQ$83,stochastic_parameters_LN_add_ol!AL$10,FALSE)</f>
        <v>-</v>
      </c>
      <c r="AM14" s="140" t="str">
        <f>VLOOKUP($C14,stochastic_parameters_LN!$A$12:$BQ$83,stochastic_parameters_LN_add_ol!AM$10,FALSE)</f>
        <v>-</v>
      </c>
      <c r="AN14" s="130" t="str">
        <f>VLOOKUP($C14,stochastic_parameters_LN!$A$12:$BQ$83,stochastic_parameters_LN_add_ol!AN$10,FALSE)</f>
        <v>-</v>
      </c>
      <c r="AO14" s="131" t="str">
        <f>VLOOKUP($C14,stochastic_parameters_LN!$A$12:$BQ$83,stochastic_parameters_LN_add_ol!AO$10,FALSE)</f>
        <v>-</v>
      </c>
      <c r="AP14" s="130" t="str">
        <f>VLOOKUP($C14,stochastic_parameters_LN!$A$12:$BQ$83,stochastic_parameters_LN_add_ol!AP$10,FALSE)</f>
        <v>-</v>
      </c>
      <c r="AQ14" s="133" t="str">
        <f>VLOOKUP($C14,stochastic_parameters_LN!$A$12:$BQ$83,stochastic_parameters_LN_add_ol!AQ$10,FALSE)</f>
        <v>-</v>
      </c>
      <c r="AR14" s="133" t="str">
        <f>VLOOKUP($C14,stochastic_parameters_LN!$A$12:$BQ$83,stochastic_parameters_LN_add_ol!AR$10,FALSE)</f>
        <v>-</v>
      </c>
      <c r="AS14" s="134" t="str">
        <f>VLOOKUP($C14,stochastic_parameters_LN!$A$12:$BQ$83,stochastic_parameters_LN_add_ol!AS$10,FALSE)</f>
        <v>-</v>
      </c>
      <c r="AT14" s="148" t="str">
        <f>VLOOKUP($C14,stochastic_parameters_LN!$A$12:$BQ$83,stochastic_parameters_LN_add_ol!AT$10,FALSE)</f>
        <v>-</v>
      </c>
      <c r="AU14" s="140" t="str">
        <f>VLOOKUP($C14,stochastic_parameters_LN!$A$12:$BQ$83,stochastic_parameters_LN_add_ol!AU$10,FALSE)</f>
        <v>-</v>
      </c>
      <c r="AV14" s="130" t="str">
        <f>VLOOKUP($C14,stochastic_parameters_LN!$A$12:$BQ$83,stochastic_parameters_LN_add_ol!AV$10,FALSE)</f>
        <v>-</v>
      </c>
      <c r="AW14" s="131" t="str">
        <f>VLOOKUP($C14,stochastic_parameters_LN!$A$12:$BQ$83,stochastic_parameters_LN_add_ol!AW$10,FALSE)</f>
        <v>-</v>
      </c>
      <c r="AX14" s="130" t="str">
        <f>VLOOKUP($C14,stochastic_parameters_LN!$A$12:$BQ$83,stochastic_parameters_LN_add_ol!AX$10,FALSE)</f>
        <v>-</v>
      </c>
      <c r="AY14" s="133" t="str">
        <f>VLOOKUP($C14,stochastic_parameters_LN!$A$12:$BQ$83,stochastic_parameters_LN_add_ol!AY$10,FALSE)</f>
        <v>-</v>
      </c>
      <c r="AZ14" s="133" t="str">
        <f>VLOOKUP($C14,stochastic_parameters_LN!$A$12:$BQ$83,stochastic_parameters_LN_add_ol!AZ$10,FALSE)</f>
        <v>-</v>
      </c>
      <c r="BA14" s="134" t="str">
        <f>VLOOKUP($C14,stochastic_parameters_LN!$A$12:$BQ$83,stochastic_parameters_LN_add_ol!BA$10,FALSE)</f>
        <v>-</v>
      </c>
      <c r="BB14" s="148" t="str">
        <f>VLOOKUP($C14,stochastic_parameters_LN!$A$12:$BQ$83,stochastic_parameters_LN_add_ol!BB$10,FALSE)</f>
        <v>-</v>
      </c>
      <c r="BC14" s="140" t="str">
        <f>VLOOKUP($C14,stochastic_parameters_LN!$A$12:$BQ$83,stochastic_parameters_LN_add_ol!BC$10,FALSE)</f>
        <v>-</v>
      </c>
      <c r="BD14" s="130" t="str">
        <f>VLOOKUP($C14,stochastic_parameters_LN!$A$12:$BQ$83,stochastic_parameters_LN_add_ol!BD$10,FALSE)</f>
        <v>-</v>
      </c>
      <c r="BE14" s="131" t="str">
        <f>VLOOKUP($C14,stochastic_parameters_LN!$A$12:$BQ$83,stochastic_parameters_LN_add_ol!BE$10,FALSE)</f>
        <v>-</v>
      </c>
      <c r="BF14" s="130" t="str">
        <f>VLOOKUP($C14,stochastic_parameters_LN!$A$12:$BQ$83,stochastic_parameters_LN_add_ol!BF$10,FALSE)</f>
        <v>-</v>
      </c>
      <c r="BG14" s="133" t="str">
        <f>VLOOKUP($C14,stochastic_parameters_LN!$A$12:$BQ$83,stochastic_parameters_LN_add_ol!BG$10,FALSE)</f>
        <v>-</v>
      </c>
      <c r="BH14" s="133" t="str">
        <f>VLOOKUP($C14,stochastic_parameters_LN!$A$12:$BQ$83,stochastic_parameters_LN_add_ol!BH$10,FALSE)</f>
        <v>-</v>
      </c>
      <c r="BI14" s="134" t="str">
        <f>VLOOKUP($C14,stochastic_parameters_LN!$A$12:$BQ$83,stochastic_parameters_LN_add_ol!BI$10,FALSE)</f>
        <v>-</v>
      </c>
      <c r="BJ14" s="148" t="str">
        <f>VLOOKUP($C14,stochastic_parameters_LN!$A$12:$BQ$83,stochastic_parameters_LN_add_ol!BJ$10,FALSE)</f>
        <v>-</v>
      </c>
      <c r="BK14" s="123">
        <f>VLOOKUP($C14,stochastic_parameters_LN!$A$12:$BQ$83,stochastic_parameters_LN_add_ol!BK$10,FALSE)</f>
        <v>103</v>
      </c>
      <c r="BL14" s="130">
        <f>VLOOKUP($C14,stochastic_parameters_LN!$A$12:$BQ$83,stochastic_parameters_LN_add_ol!BL$10,FALSE)</f>
        <v>103</v>
      </c>
      <c r="BM14" s="131">
        <f>VLOOKUP($C14,stochastic_parameters_LN!$A$12:$BQ$83,stochastic_parameters_LN_add_ol!BM$10,FALSE)</f>
        <v>4.6347289882296359</v>
      </c>
      <c r="BN14" s="130">
        <f>VLOOKUP($C14,stochastic_parameters_LN!$A$12:$BQ$83,stochastic_parameters_LN_add_ol!BN$10,FALSE)</f>
        <v>0</v>
      </c>
      <c r="BO14" s="133">
        <f>VLOOKUP($C14,stochastic_parameters_LN!$A$12:$BQ$83,stochastic_parameters_LN_add_ol!BO$10,FALSE)</f>
        <v>103.00000000000001</v>
      </c>
      <c r="BP14" s="133">
        <f>VLOOKUP($C14,stochastic_parameters_LN!$A$12:$BQ$83,stochastic_parameters_LN_add_ol!BP$10,FALSE)</f>
        <v>103.00000000000001</v>
      </c>
      <c r="BQ14" s="134">
        <f>VLOOKUP($C14,stochastic_parameters_LN!$A$12:$BQ$83,stochastic_parameters_LN_add_ol!BQ$10,FALSE)</f>
        <v>0</v>
      </c>
    </row>
    <row r="15" spans="1:69" ht="15.75" thickBot="1" x14ac:dyDescent="0.3">
      <c r="A15" t="s">
        <v>350</v>
      </c>
      <c r="E15" t="s">
        <v>363</v>
      </c>
      <c r="F15" s="149" t="e">
        <f>VLOOKUP($C15,stochastic_parameters_LN!$A$12:$BQ$83,stochastic_parameters_LN_add_ol!F$10,FALSE)</f>
        <v>#N/A</v>
      </c>
      <c r="G15" s="150" t="e">
        <f>VLOOKUP($C15,stochastic_parameters_LN!$A$12:$BQ$83,stochastic_parameters_LN_add_ol!G$10,FALSE)</f>
        <v>#N/A</v>
      </c>
      <c r="H15" s="135" t="e">
        <f>VLOOKUP($C15,stochastic_parameters_LN!$A$12:$BQ$83,stochastic_parameters_LN_add_ol!H$10,FALSE)</f>
        <v>#N/A</v>
      </c>
      <c r="I15" s="136" t="e">
        <f>VLOOKUP($C15,stochastic_parameters_LN!$A$12:$BQ$83,stochastic_parameters_LN_add_ol!I$10,FALSE)</f>
        <v>#N/A</v>
      </c>
      <c r="J15" s="135" t="e">
        <f>VLOOKUP($C15,stochastic_parameters_LN!$A$12:$BQ$83,stochastic_parameters_LN_add_ol!J$10,FALSE)</f>
        <v>#N/A</v>
      </c>
      <c r="K15" s="138" t="e">
        <f>VLOOKUP($C15,stochastic_parameters_LN!$A$12:$BQ$83,stochastic_parameters_LN_add_ol!K$10,FALSE)</f>
        <v>#N/A</v>
      </c>
      <c r="L15" s="138" t="e">
        <f>VLOOKUP($C15,stochastic_parameters_LN!$A$12:$BQ$83,stochastic_parameters_LN_add_ol!L$10,FALSE)</f>
        <v>#N/A</v>
      </c>
      <c r="M15" s="139" t="e">
        <f>VLOOKUP($C15,stochastic_parameters_LN!$A$12:$BQ$83,stochastic_parameters_LN_add_ol!M$10,FALSE)</f>
        <v>#N/A</v>
      </c>
      <c r="N15" s="149" t="e">
        <f>VLOOKUP($C15,stochastic_parameters_LN!$A$12:$BQ$83,stochastic_parameters_LN_add_ol!N$10,FALSE)</f>
        <v>#N/A</v>
      </c>
      <c r="O15" s="150" t="e">
        <f>VLOOKUP($C15,stochastic_parameters_LN!$A$12:$BQ$83,stochastic_parameters_LN_add_ol!O$10,FALSE)</f>
        <v>#N/A</v>
      </c>
      <c r="P15" s="135" t="e">
        <f>VLOOKUP($C15,stochastic_parameters_LN!$A$12:$BQ$83,stochastic_parameters_LN_add_ol!P$10,FALSE)</f>
        <v>#N/A</v>
      </c>
      <c r="Q15" s="136" t="e">
        <f>VLOOKUP($C15,stochastic_parameters_LN!$A$12:$BQ$83,stochastic_parameters_LN_add_ol!Q$10,FALSE)</f>
        <v>#N/A</v>
      </c>
      <c r="R15" s="137" t="e">
        <f>VLOOKUP($C15,stochastic_parameters_LN!$A$12:$BQ$83,stochastic_parameters_LN_add_ol!R$10,FALSE)</f>
        <v>#N/A</v>
      </c>
      <c r="S15" s="137" t="e">
        <f>VLOOKUP($C15,stochastic_parameters_LN!$A$12:$BQ$83,stochastic_parameters_LN_add_ol!S$10,FALSE)</f>
        <v>#N/A</v>
      </c>
      <c r="T15" s="138" t="e">
        <f>VLOOKUP($C15,stochastic_parameters_LN!$A$12:$BQ$83,stochastic_parameters_LN_add_ol!T$10,FALSE)</f>
        <v>#N/A</v>
      </c>
      <c r="U15" s="139" t="e">
        <f>VLOOKUP($C15,stochastic_parameters_LN!$A$12:$BQ$83,stochastic_parameters_LN_add_ol!U$10,FALSE)</f>
        <v>#N/A</v>
      </c>
      <c r="V15" s="149" t="e">
        <f>VLOOKUP($C15,stochastic_parameters_LN!$A$12:$BQ$83,stochastic_parameters_LN_add_ol!V$10,FALSE)</f>
        <v>#N/A</v>
      </c>
      <c r="W15" s="141" t="e">
        <f>VLOOKUP($C15,stochastic_parameters_LN!$A$12:$BQ$83,stochastic_parameters_LN_add_ol!W$10,FALSE)</f>
        <v>#N/A</v>
      </c>
      <c r="X15" s="135" t="e">
        <f>VLOOKUP($C15,stochastic_parameters_LN!$A$12:$BQ$83,stochastic_parameters_LN_add_ol!X$10,FALSE)</f>
        <v>#N/A</v>
      </c>
      <c r="Y15" s="136" t="e">
        <f>VLOOKUP($C15,stochastic_parameters_LN!$A$12:$BQ$83,stochastic_parameters_LN_add_ol!Y$10,FALSE)</f>
        <v>#N/A</v>
      </c>
      <c r="Z15" s="135" t="e">
        <f>VLOOKUP($C15,stochastic_parameters_LN!$A$12:$BQ$83,stochastic_parameters_LN_add_ol!Z$10,FALSE)</f>
        <v>#N/A</v>
      </c>
      <c r="AA15" s="138" t="e">
        <f>VLOOKUP($C15,stochastic_parameters_LN!$A$12:$BQ$83,stochastic_parameters_LN_add_ol!AA$10,FALSE)</f>
        <v>#N/A</v>
      </c>
      <c r="AB15" s="138" t="e">
        <f>VLOOKUP($C15,stochastic_parameters_LN!$A$12:$BQ$83,stochastic_parameters_LN_add_ol!AB$10,FALSE)</f>
        <v>#N/A</v>
      </c>
      <c r="AC15" s="139" t="e">
        <f>VLOOKUP($C15,stochastic_parameters_LN!$A$12:$BQ$83,stochastic_parameters_LN_add_ol!AC$10,FALSE)</f>
        <v>#N/A</v>
      </c>
      <c r="AD15" s="149" t="e">
        <f>VLOOKUP($C15,stochastic_parameters_LN!$A$12:$BQ$83,stochastic_parameters_LN_add_ol!AD$10,FALSE)</f>
        <v>#N/A</v>
      </c>
      <c r="AE15" s="141" t="e">
        <f>VLOOKUP($C15,stochastic_parameters_LN!$A$12:$BQ$83,stochastic_parameters_LN_add_ol!AE$10,FALSE)</f>
        <v>#N/A</v>
      </c>
      <c r="AF15" s="135" t="e">
        <f>VLOOKUP($C15,stochastic_parameters_LN!$A$12:$BQ$83,stochastic_parameters_LN_add_ol!AF$10,FALSE)</f>
        <v>#N/A</v>
      </c>
      <c r="AG15" s="136" t="e">
        <f>VLOOKUP($C15,stochastic_parameters_LN!$A$12:$BQ$83,stochastic_parameters_LN_add_ol!AG$10,FALSE)</f>
        <v>#N/A</v>
      </c>
      <c r="AH15" s="135" t="e">
        <f>VLOOKUP($C15,stochastic_parameters_LN!$A$12:$BQ$83,stochastic_parameters_LN_add_ol!AH$10,FALSE)</f>
        <v>#N/A</v>
      </c>
      <c r="AI15" s="138" t="e">
        <f>VLOOKUP($C15,stochastic_parameters_LN!$A$12:$BQ$83,stochastic_parameters_LN_add_ol!AI$10,FALSE)</f>
        <v>#N/A</v>
      </c>
      <c r="AJ15" s="138" t="e">
        <f>VLOOKUP($C15,stochastic_parameters_LN!$A$12:$BQ$83,stochastic_parameters_LN_add_ol!AJ$10,FALSE)</f>
        <v>#N/A</v>
      </c>
      <c r="AK15" s="139" t="e">
        <f>VLOOKUP($C15,stochastic_parameters_LN!$A$12:$BQ$83,stochastic_parameters_LN_add_ol!AK$10,FALSE)</f>
        <v>#N/A</v>
      </c>
      <c r="AL15" s="149" t="e">
        <f>VLOOKUP($C15,stochastic_parameters_LN!$A$12:$BQ$83,stochastic_parameters_LN_add_ol!AL$10,FALSE)</f>
        <v>#N/A</v>
      </c>
      <c r="AM15" s="141" t="e">
        <f>VLOOKUP($C15,stochastic_parameters_LN!$A$12:$BQ$83,stochastic_parameters_LN_add_ol!AM$10,FALSE)</f>
        <v>#N/A</v>
      </c>
      <c r="AN15" s="135" t="e">
        <f>VLOOKUP($C15,stochastic_parameters_LN!$A$12:$BQ$83,stochastic_parameters_LN_add_ol!AN$10,FALSE)</f>
        <v>#N/A</v>
      </c>
      <c r="AO15" s="136" t="e">
        <f>VLOOKUP($C15,stochastic_parameters_LN!$A$12:$BQ$83,stochastic_parameters_LN_add_ol!AO$10,FALSE)</f>
        <v>#N/A</v>
      </c>
      <c r="AP15" s="135" t="e">
        <f>VLOOKUP($C15,stochastic_parameters_LN!$A$12:$BQ$83,stochastic_parameters_LN_add_ol!AP$10,FALSE)</f>
        <v>#N/A</v>
      </c>
      <c r="AQ15" s="138" t="e">
        <f>VLOOKUP($C15,stochastic_parameters_LN!$A$12:$BQ$83,stochastic_parameters_LN_add_ol!AQ$10,FALSE)</f>
        <v>#N/A</v>
      </c>
      <c r="AR15" s="138" t="e">
        <f>VLOOKUP($C15,stochastic_parameters_LN!$A$12:$BQ$83,stochastic_parameters_LN_add_ol!AR$10,FALSE)</f>
        <v>#N/A</v>
      </c>
      <c r="AS15" s="139" t="e">
        <f>VLOOKUP($C15,stochastic_parameters_LN!$A$12:$BQ$83,stochastic_parameters_LN_add_ol!AS$10,FALSE)</f>
        <v>#N/A</v>
      </c>
      <c r="AT15" s="149" t="e">
        <f>VLOOKUP($C15,stochastic_parameters_LN!$A$12:$BQ$83,stochastic_parameters_LN_add_ol!AT$10,FALSE)</f>
        <v>#N/A</v>
      </c>
      <c r="AU15" s="141" t="e">
        <f>VLOOKUP($C15,stochastic_parameters_LN!$A$12:$BQ$83,stochastic_parameters_LN_add_ol!AU$10,FALSE)</f>
        <v>#N/A</v>
      </c>
      <c r="AV15" s="135" t="e">
        <f>VLOOKUP($C15,stochastic_parameters_LN!$A$12:$BQ$83,stochastic_parameters_LN_add_ol!AV$10,FALSE)</f>
        <v>#N/A</v>
      </c>
      <c r="AW15" s="136" t="e">
        <f>VLOOKUP($C15,stochastic_parameters_LN!$A$12:$BQ$83,stochastic_parameters_LN_add_ol!AW$10,FALSE)</f>
        <v>#N/A</v>
      </c>
      <c r="AX15" s="135" t="e">
        <f>VLOOKUP($C15,stochastic_parameters_LN!$A$12:$BQ$83,stochastic_parameters_LN_add_ol!AX$10,FALSE)</f>
        <v>#N/A</v>
      </c>
      <c r="AY15" s="138" t="e">
        <f>VLOOKUP($C15,stochastic_parameters_LN!$A$12:$BQ$83,stochastic_parameters_LN_add_ol!AY$10,FALSE)</f>
        <v>#N/A</v>
      </c>
      <c r="AZ15" s="138" t="e">
        <f>VLOOKUP($C15,stochastic_parameters_LN!$A$12:$BQ$83,stochastic_parameters_LN_add_ol!AZ$10,FALSE)</f>
        <v>#N/A</v>
      </c>
      <c r="BA15" s="139" t="e">
        <f>VLOOKUP($C15,stochastic_parameters_LN!$A$12:$BQ$83,stochastic_parameters_LN_add_ol!BA$10,FALSE)</f>
        <v>#N/A</v>
      </c>
      <c r="BB15" s="149" t="e">
        <f>VLOOKUP($C15,stochastic_parameters_LN!$A$12:$BQ$83,stochastic_parameters_LN_add_ol!BB$10,FALSE)</f>
        <v>#N/A</v>
      </c>
      <c r="BC15" s="141" t="e">
        <f>VLOOKUP($C15,stochastic_parameters_LN!$A$12:$BQ$83,stochastic_parameters_LN_add_ol!BC$10,FALSE)</f>
        <v>#N/A</v>
      </c>
      <c r="BD15" s="135" t="e">
        <f>VLOOKUP($C15,stochastic_parameters_LN!$A$12:$BQ$83,stochastic_parameters_LN_add_ol!BD$10,FALSE)</f>
        <v>#N/A</v>
      </c>
      <c r="BE15" s="136" t="e">
        <f>VLOOKUP($C15,stochastic_parameters_LN!$A$12:$BQ$83,stochastic_parameters_LN_add_ol!BE$10,FALSE)</f>
        <v>#N/A</v>
      </c>
      <c r="BF15" s="135" t="e">
        <f>VLOOKUP($C15,stochastic_parameters_LN!$A$12:$BQ$83,stochastic_parameters_LN_add_ol!BF$10,FALSE)</f>
        <v>#N/A</v>
      </c>
      <c r="BG15" s="133" t="e">
        <f>VLOOKUP($C15,stochastic_parameters_LN!$A$12:$BQ$83,stochastic_parameters_LN_add_ol!BG$10,FALSE)</f>
        <v>#N/A</v>
      </c>
      <c r="BH15" s="138" t="e">
        <f>VLOOKUP($C15,stochastic_parameters_LN!$A$12:$BQ$83,stochastic_parameters_LN_add_ol!BH$10,FALSE)</f>
        <v>#N/A</v>
      </c>
      <c r="BI15" s="139" t="e">
        <f>VLOOKUP($C15,stochastic_parameters_LN!$A$12:$BQ$83,stochastic_parameters_LN_add_ol!BI$10,FALSE)</f>
        <v>#N/A</v>
      </c>
      <c r="BJ15" s="149" t="e">
        <f>VLOOKUP($C15,stochastic_parameters_LN!$A$12:$BQ$83,stochastic_parameters_LN_add_ol!BJ$10,FALSE)</f>
        <v>#N/A</v>
      </c>
      <c r="BK15" s="150" t="e">
        <f>VLOOKUP($C15,stochastic_parameters_LN!$A$12:$BQ$83,stochastic_parameters_LN_add_ol!BK$10,FALSE)</f>
        <v>#N/A</v>
      </c>
      <c r="BL15" s="135" t="e">
        <f>VLOOKUP($C15,stochastic_parameters_LN!$A$12:$BQ$83,stochastic_parameters_LN_add_ol!BL$10,FALSE)</f>
        <v>#N/A</v>
      </c>
      <c r="BM15" s="136" t="e">
        <f>VLOOKUP($C15,stochastic_parameters_LN!$A$12:$BQ$83,stochastic_parameters_LN_add_ol!BM$10,FALSE)</f>
        <v>#N/A</v>
      </c>
      <c r="BN15" s="135" t="e">
        <f>VLOOKUP($C15,stochastic_parameters_LN!$A$12:$BQ$83,stochastic_parameters_LN_add_ol!BN$10,FALSE)</f>
        <v>#N/A</v>
      </c>
      <c r="BO15" s="138" t="e">
        <f>VLOOKUP($C15,stochastic_parameters_LN!$A$12:$BQ$83,stochastic_parameters_LN_add_ol!BO$10,FALSE)</f>
        <v>#N/A</v>
      </c>
      <c r="BP15" s="138" t="e">
        <f>VLOOKUP($C15,stochastic_parameters_LN!$A$12:$BQ$83,stochastic_parameters_LN_add_ol!BP$10,FALSE)</f>
        <v>#N/A</v>
      </c>
      <c r="BQ15" s="139" t="e">
        <f>VLOOKUP($C15,stochastic_parameters_LN!$A$12:$BQ$83,stochastic_parameters_LN_add_ol!BQ$10,FALSE)</f>
        <v>#N/A</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2DD96-0117-47F4-A1D4-EA733456A255}">
  <dimension ref="C1:P28"/>
  <sheetViews>
    <sheetView workbookViewId="0">
      <selection activeCell="K14" sqref="K14"/>
    </sheetView>
  </sheetViews>
  <sheetFormatPr defaultRowHeight="15" x14ac:dyDescent="0.25"/>
  <cols>
    <col min="3" max="3" width="15.42578125" bestFit="1" customWidth="1"/>
    <col min="11" max="11" width="15.42578125" bestFit="1" customWidth="1"/>
  </cols>
  <sheetData>
    <row r="1" spans="3:16" x14ac:dyDescent="0.25">
      <c r="C1" t="s">
        <v>366</v>
      </c>
      <c r="K1" t="s">
        <v>365</v>
      </c>
      <c r="L1">
        <v>13</v>
      </c>
      <c r="M1">
        <v>29</v>
      </c>
      <c r="N1">
        <f>M1+8</f>
        <v>37</v>
      </c>
      <c r="O1">
        <f>N1+8</f>
        <v>45</v>
      </c>
      <c r="P1">
        <f>O1+8</f>
        <v>53</v>
      </c>
    </row>
    <row r="2" spans="3:16" x14ac:dyDescent="0.25">
      <c r="C2" t="s">
        <v>375</v>
      </c>
      <c r="D2" t="s">
        <v>367</v>
      </c>
      <c r="E2" t="s">
        <v>368</v>
      </c>
      <c r="F2" t="s">
        <v>369</v>
      </c>
      <c r="K2" t="s">
        <v>375</v>
      </c>
      <c r="L2" t="s">
        <v>370</v>
      </c>
      <c r="M2" t="s">
        <v>371</v>
      </c>
      <c r="N2" t="s">
        <v>372</v>
      </c>
      <c r="O2" t="s">
        <v>373</v>
      </c>
      <c r="P2" t="s">
        <v>374</v>
      </c>
    </row>
    <row r="3" spans="3:16" x14ac:dyDescent="0.25">
      <c r="C3" s="157" t="s">
        <v>144</v>
      </c>
      <c r="D3" t="str">
        <f>VLOOKUP($C3,stochastic_parameters_LN!$A$12:$BQ$83,5,FALSE)</f>
        <v>#00000000</v>
      </c>
      <c r="E3">
        <f>VLOOKUP($C3,stochastic_parameters_LN!$A$12:$BQ$83,13,FALSE)</f>
        <v>4.3516277378639584E-2</v>
      </c>
      <c r="F3">
        <f>VLOOKUP($C3,stochastic_parameters_LN!$A$12:$BQ$83,21,FALSE)</f>
        <v>4.3516277378639584E-2</v>
      </c>
      <c r="K3" t="s">
        <v>144</v>
      </c>
      <c r="L3">
        <f>VLOOKUP($K3,stochastic_parameters_LN!$A$12:$BQ$83,13,FALSE)</f>
        <v>4.3516277378639584E-2</v>
      </c>
      <c r="M3">
        <f>VLOOKUP($K3,stochastic_parameters_LN!$A$12:$BQ$83,M$1,FALSE)</f>
        <v>0.10242724163613209</v>
      </c>
      <c r="N3">
        <f>VLOOKUP($K3,stochastic_parameters_LN!$A$12:$BQ$83,N$1,FALSE)</f>
        <v>1.752956385023172E-2</v>
      </c>
      <c r="O3">
        <f>VLOOKUP($K3,stochastic_parameters_LN!$A$12:$BQ$83,O$1,FALSE)</f>
        <v>6.0983795455493194E-3</v>
      </c>
      <c r="P3">
        <f>VLOOKUP($K3,stochastic_parameters_LN!$A$12:$BQ$83,P$1,FALSE)</f>
        <v>0.63608510768296267</v>
      </c>
    </row>
    <row r="4" spans="3:16" x14ac:dyDescent="0.25">
      <c r="C4" s="157" t="s">
        <v>134</v>
      </c>
      <c r="D4" t="str">
        <f>VLOOKUP($C4,stochastic_parameters_LN!$A$12:$BQ$83,5,FALSE)</f>
        <v>#80F5F5F5</v>
      </c>
      <c r="E4">
        <f>VLOOKUP($C4,stochastic_parameters_LN!$A$12:$BQ$83,13,FALSE)</f>
        <v>1.7374689119496221E-2</v>
      </c>
      <c r="F4">
        <f>VLOOKUP($C4,stochastic_parameters_LN!$A$12:$BQ$83,21,FALSE)</f>
        <v>1.5591614436634309E-2</v>
      </c>
      <c r="K4" t="s">
        <v>115</v>
      </c>
      <c r="L4">
        <f>VLOOKUP($K4,stochastic_parameters_LN!$A$12:$BQ$83,13,FALSE)</f>
        <v>4.3516277378639584E-2</v>
      </c>
      <c r="M4">
        <f>VLOOKUP($K4,stochastic_parameters_LN!$A$12:$BQ$83,M$1,FALSE)</f>
        <v>6.860427233290714E-2</v>
      </c>
      <c r="N4">
        <f>VLOOKUP($K4,stochastic_parameters_LN!$A$12:$BQ$83,N$1,FALSE)</f>
        <v>1.752956385023172E-2</v>
      </c>
      <c r="O4">
        <f>VLOOKUP($K4,stochastic_parameters_LN!$A$12:$BQ$83,O$1,FALSE)</f>
        <v>6.0983795455493194E-3</v>
      </c>
      <c r="P4">
        <f>VLOOKUP($K4,stochastic_parameters_LN!$A$12:$BQ$83,P$1,FALSE)</f>
        <v>0.63608510768296267</v>
      </c>
    </row>
    <row r="5" spans="3:16" x14ac:dyDescent="0.25">
      <c r="C5" s="157" t="s">
        <v>76</v>
      </c>
      <c r="D5" t="str">
        <f>VLOOKUP($C5,stochastic_parameters_LN!$A$12:$BQ$83,5,FALSE)</f>
        <v>#80008080</v>
      </c>
      <c r="E5">
        <f>VLOOKUP($C5,stochastic_parameters_LN!$A$12:$BQ$83,13,FALSE)</f>
        <v>5.545946054591247E-2</v>
      </c>
      <c r="F5">
        <f>VLOOKUP($C5,stochastic_parameters_LN!$A$12:$BQ$83,21,FALSE)</f>
        <v>5.545946054591247E-2</v>
      </c>
      <c r="K5" t="s">
        <v>109</v>
      </c>
      <c r="L5">
        <f>VLOOKUP($K5,stochastic_parameters_LN!$A$12:$BQ$83,13,FALSE)</f>
        <v>5.9065404724547653E-2</v>
      </c>
      <c r="M5">
        <f>VLOOKUP($K5,stochastic_parameters_LN!$A$12:$BQ$83,M$1,FALSE)</f>
        <v>5.9809059375706478E-2</v>
      </c>
      <c r="N5">
        <f>VLOOKUP($K5,stochastic_parameters_LN!$A$12:$BQ$83,N$1,FALSE)</f>
        <v>1.9056268246992348E-2</v>
      </c>
      <c r="O5">
        <f>VLOOKUP($K5,stochastic_parameters_LN!$A$12:$BQ$83,O$1,FALSE)</f>
        <v>5.4188537438312843E-3</v>
      </c>
      <c r="P5">
        <f>VLOOKUP($K5,stochastic_parameters_LN!$A$12:$BQ$83,P$1,FALSE)</f>
        <v>0.36208720668228067</v>
      </c>
    </row>
    <row r="6" spans="3:16" x14ac:dyDescent="0.25">
      <c r="C6" s="157" t="s">
        <v>79</v>
      </c>
      <c r="D6" t="str">
        <f>VLOOKUP($C6,stochastic_parameters_LN!$A$12:$BQ$83,5,FALSE)</f>
        <v>#80297551</v>
      </c>
      <c r="E6">
        <f>VLOOKUP($C6,stochastic_parameters_LN!$A$12:$BQ$83,13,FALSE)</f>
        <v>4.3516277378639584E-2</v>
      </c>
      <c r="F6">
        <f>VLOOKUP($C6,stochastic_parameters_LN!$A$12:$BQ$83,21,FALSE)</f>
        <v>4.3516277378639584E-2</v>
      </c>
      <c r="K6" t="s">
        <v>117</v>
      </c>
      <c r="L6">
        <f>VLOOKUP($K6,stochastic_parameters_LN!$A$12:$BQ$83,13,FALSE)</f>
        <v>4.3516277378639584E-2</v>
      </c>
      <c r="M6">
        <f>VLOOKUP($K6,stochastic_parameters_LN!$A$12:$BQ$83,M$1,FALSE)</f>
        <v>6.860427233290714E-2</v>
      </c>
      <c r="N6">
        <f>VLOOKUP($K6,stochastic_parameters_LN!$A$12:$BQ$83,N$1,FALSE)</f>
        <v>1.752956385023172E-2</v>
      </c>
      <c r="O6">
        <f>VLOOKUP($K6,stochastic_parameters_LN!$A$12:$BQ$83,O$1,FALSE)</f>
        <v>6.0983795455493194E-3</v>
      </c>
      <c r="P6">
        <f>VLOOKUP($K6,stochastic_parameters_LN!$A$12:$BQ$83,P$1,FALSE)</f>
        <v>0.63608510768296267</v>
      </c>
    </row>
    <row r="7" spans="3:16" x14ac:dyDescent="0.25">
      <c r="C7" s="157" t="s">
        <v>115</v>
      </c>
      <c r="D7" t="str">
        <f>VLOOKUP($C7,stochastic_parameters_LN!$A$12:$BQ$83,5,FALSE)</f>
        <v>#808E9593</v>
      </c>
      <c r="E7">
        <f>VLOOKUP($C7,stochastic_parameters_LN!$A$12:$BQ$83,13,FALSE)</f>
        <v>4.3516277378639584E-2</v>
      </c>
      <c r="F7">
        <f>VLOOKUP($C7,stochastic_parameters_LN!$A$12:$BQ$83,21,FALSE)</f>
        <v>4.3516277378639584E-2</v>
      </c>
      <c r="K7" t="s">
        <v>105</v>
      </c>
      <c r="L7">
        <f>VLOOKUP($K7,stochastic_parameters_LN!$A$12:$BQ$83,13,FALSE)</f>
        <v>5.545946054591247E-2</v>
      </c>
      <c r="M7">
        <f>VLOOKUP($K7,stochastic_parameters_LN!$A$12:$BQ$83,M$1,FALSE)</f>
        <v>2.0159940531147332E-2</v>
      </c>
      <c r="N7">
        <f>VLOOKUP($K7,stochastic_parameters_LN!$A$12:$BQ$83,N$1,FALSE)</f>
        <v>6.9861275901318643E-3</v>
      </c>
      <c r="O7">
        <f>VLOOKUP($K7,stochastic_parameters_LN!$A$12:$BQ$83,O$1,FALSE)</f>
        <v>5.4188537438312843E-3</v>
      </c>
      <c r="P7">
        <f>VLOOKUP($K7,stochastic_parameters_LN!$A$12:$BQ$83,P$1,FALSE)</f>
        <v>0.30477560731993525</v>
      </c>
    </row>
    <row r="8" spans="3:16" x14ac:dyDescent="0.25">
      <c r="C8" s="157" t="s">
        <v>115</v>
      </c>
      <c r="D8" t="str">
        <f>VLOOKUP($C8,stochastic_parameters_LN!$A$12:$BQ$83,5,FALSE)</f>
        <v>#808E9593</v>
      </c>
      <c r="E8">
        <f>VLOOKUP($C8,stochastic_parameters_LN!$A$12:$BQ$83,13,FALSE)</f>
        <v>4.3516277378639584E-2</v>
      </c>
      <c r="F8">
        <f>VLOOKUP($C8,stochastic_parameters_LN!$A$12:$BQ$83,21,FALSE)</f>
        <v>4.3516277378639584E-2</v>
      </c>
      <c r="K8" t="s">
        <v>125</v>
      </c>
      <c r="L8">
        <f>VLOOKUP($K8,stochastic_parameters_LN!$A$12:$BQ$83,13,FALSE)</f>
        <v>5.5459460545912463E-2</v>
      </c>
      <c r="M8">
        <f>VLOOKUP($K8,stochastic_parameters_LN!$A$12:$BQ$83,M$1,FALSE)</f>
        <v>0.10242724163613209</v>
      </c>
      <c r="N8">
        <f>VLOOKUP($K8,stochastic_parameters_LN!$A$12:$BQ$83,N$1,FALSE)</f>
        <v>1.9815641765291939E-2</v>
      </c>
      <c r="O8">
        <f>VLOOKUP($K8,stochastic_parameters_LN!$A$12:$BQ$83,O$1,FALSE)</f>
        <v>7.0192954085797038E-2</v>
      </c>
      <c r="P8">
        <f>VLOOKUP($K8,stochastic_parameters_LN!$A$12:$BQ$83,P$1,FALSE)</f>
        <v>0.29165069851434489</v>
      </c>
    </row>
    <row r="9" spans="3:16" x14ac:dyDescent="0.25">
      <c r="C9" s="157" t="s">
        <v>109</v>
      </c>
      <c r="D9" t="str">
        <f>VLOOKUP($C9,stochastic_parameters_LN!$A$12:$BQ$83,5,FALSE)</f>
        <v>#8000FF00</v>
      </c>
      <c r="E9">
        <f>VLOOKUP($C9,stochastic_parameters_LN!$A$12:$BQ$83,13,FALSE)</f>
        <v>5.9065404724547653E-2</v>
      </c>
      <c r="F9">
        <f>VLOOKUP($C9,stochastic_parameters_LN!$A$12:$BQ$83,21,FALSE)</f>
        <v>5.9065404724547653E-2</v>
      </c>
      <c r="K9" t="s">
        <v>123</v>
      </c>
      <c r="L9">
        <f>VLOOKUP($K9,stochastic_parameters_LN!$A$12:$BQ$83,13,FALSE)</f>
        <v>5.5459460545912463E-2</v>
      </c>
      <c r="M9">
        <f>VLOOKUP($K9,stochastic_parameters_LN!$A$12:$BQ$83,M$1,FALSE)</f>
        <v>0.10242724163613209</v>
      </c>
      <c r="N9">
        <f>VLOOKUP($K9,stochastic_parameters_LN!$A$12:$BQ$83,N$1,FALSE)</f>
        <v>6.1758247671562967E-3</v>
      </c>
      <c r="O9">
        <f>VLOOKUP($K9,stochastic_parameters_LN!$A$12:$BQ$83,O$1,FALSE)</f>
        <v>5.4188537438312843E-3</v>
      </c>
      <c r="P9">
        <f>VLOOKUP($K9,stochastic_parameters_LN!$A$12:$BQ$83,P$1,FALSE)</f>
        <v>0.55575985534693972</v>
      </c>
    </row>
    <row r="10" spans="3:16" x14ac:dyDescent="0.25">
      <c r="C10" s="157" t="s">
        <v>117</v>
      </c>
      <c r="D10" t="str">
        <f>VLOOKUP($C10,stochastic_parameters_LN!$A$12:$BQ$83,5,FALSE)</f>
        <v>#807DA030</v>
      </c>
      <c r="E10">
        <f>VLOOKUP($C10,stochastic_parameters_LN!$A$12:$BQ$83,13,FALSE)</f>
        <v>4.3516277378639584E-2</v>
      </c>
      <c r="F10">
        <f>VLOOKUP($C10,stochastic_parameters_LN!$A$12:$BQ$83,21,FALSE)</f>
        <v>4.3516277378639584E-2</v>
      </c>
      <c r="K10" s="157"/>
    </row>
    <row r="11" spans="3:16" x14ac:dyDescent="0.25">
      <c r="C11" s="157" t="s">
        <v>105</v>
      </c>
      <c r="D11" t="str">
        <f>VLOOKUP($C11,stochastic_parameters_LN!$A$12:$BQ$83,5,FALSE)</f>
        <v>#80CCFFCC</v>
      </c>
      <c r="E11">
        <f>VLOOKUP($C11,stochastic_parameters_LN!$A$12:$BQ$83,13,FALSE)</f>
        <v>5.545946054591247E-2</v>
      </c>
      <c r="F11">
        <f>VLOOKUP($C11,stochastic_parameters_LN!$A$12:$BQ$83,21,FALSE)</f>
        <v>5.545946054591247E-2</v>
      </c>
      <c r="K11" s="157"/>
    </row>
    <row r="12" spans="3:16" x14ac:dyDescent="0.25">
      <c r="C12" s="157" t="s">
        <v>108</v>
      </c>
      <c r="D12" t="str">
        <f>VLOOKUP($C12,stochastic_parameters_LN!$A$12:$BQ$83,5,FALSE)</f>
        <v>#80CCFFCC</v>
      </c>
      <c r="E12">
        <f>VLOOKUP($C12,stochastic_parameters_LN!$A$12:$BQ$83,13,FALSE)</f>
        <v>1.6434915489043144E-2</v>
      </c>
      <c r="F12">
        <f>VLOOKUP($C12,stochastic_parameters_LN!$A$12:$BQ$83,21,FALSE)</f>
        <v>1.4830652530456298E-2</v>
      </c>
      <c r="K12" s="157"/>
    </row>
    <row r="13" spans="3:16" x14ac:dyDescent="0.25">
      <c r="C13" s="157" t="s">
        <v>123</v>
      </c>
      <c r="D13" t="str">
        <f>VLOOKUP($C13,stochastic_parameters_LN!$A$12:$BQ$83,5,FALSE)</f>
        <v>#80993300</v>
      </c>
      <c r="E13">
        <f>VLOOKUP($C13,stochastic_parameters_LN!$A$12:$BQ$83,13,FALSE)</f>
        <v>5.5459460545912463E-2</v>
      </c>
      <c r="F13">
        <f>VLOOKUP($C13,stochastic_parameters_LN!$A$12:$BQ$83,21,FALSE)</f>
        <v>5.5459460545912463E-2</v>
      </c>
      <c r="K13" s="157"/>
    </row>
    <row r="14" spans="3:16" x14ac:dyDescent="0.25">
      <c r="C14" s="157" t="s">
        <v>125</v>
      </c>
      <c r="D14" t="str">
        <f>VLOOKUP($C14,stochastic_parameters_LN!$A$12:$BQ$83,5,FALSE)</f>
        <v>#80742700</v>
      </c>
      <c r="E14">
        <f>VLOOKUP($C14,stochastic_parameters_LN!$A$12:$BQ$83,13,FALSE)</f>
        <v>5.5459460545912463E-2</v>
      </c>
      <c r="F14">
        <f>VLOOKUP($C14,stochastic_parameters_LN!$A$12:$BQ$83,21,FALSE)</f>
        <v>5.5459460545912463E-2</v>
      </c>
      <c r="K14" s="157"/>
    </row>
    <row r="15" spans="3:16" x14ac:dyDescent="0.25">
      <c r="C15" s="157"/>
      <c r="K15" s="157"/>
    </row>
    <row r="16" spans="3:16" x14ac:dyDescent="0.25">
      <c r="C16" s="157"/>
      <c r="K16" s="157"/>
    </row>
    <row r="17" spans="3:11" x14ac:dyDescent="0.25">
      <c r="C17" s="157"/>
      <c r="K17" s="157"/>
    </row>
    <row r="18" spans="3:11" x14ac:dyDescent="0.25">
      <c r="C18" s="157"/>
      <c r="K18" s="157"/>
    </row>
    <row r="19" spans="3:11" x14ac:dyDescent="0.25">
      <c r="C19" s="157"/>
      <c r="K19" s="157"/>
    </row>
    <row r="20" spans="3:11" x14ac:dyDescent="0.25">
      <c r="C20" s="157"/>
      <c r="K20" s="157"/>
    </row>
    <row r="21" spans="3:11" x14ac:dyDescent="0.25">
      <c r="C21" s="157"/>
      <c r="K21" s="157"/>
    </row>
    <row r="22" spans="3:11" x14ac:dyDescent="0.25">
      <c r="C22" s="157"/>
      <c r="K22" s="157"/>
    </row>
    <row r="23" spans="3:11" x14ac:dyDescent="0.25">
      <c r="C23" s="157"/>
    </row>
    <row r="28" spans="3:11" x14ac:dyDescent="0.25">
      <c r="K28" s="15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8140982-2f13-4efb-9d41-25b112a23c2d">
      <Terms xmlns="http://schemas.microsoft.com/office/infopath/2007/PartnerControls"/>
    </lcf76f155ced4ddcb4097134ff3c332f>
    <TaxCatchAll xmlns="58dc3081-d8a1-4e92-884a-04f6ca0fc63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C150F9F0870F84BB5F8B27ECD177034" ma:contentTypeVersion="18" ma:contentTypeDescription="Een nieuw document maken." ma:contentTypeScope="" ma:versionID="a33e66bbb2848db71081a983c2e827b6">
  <xsd:schema xmlns:xsd="http://www.w3.org/2001/XMLSchema" xmlns:xs="http://www.w3.org/2001/XMLSchema" xmlns:p="http://schemas.microsoft.com/office/2006/metadata/properties" xmlns:ns2="08140982-2f13-4efb-9d41-25b112a23c2d" xmlns:ns3="f1959ebb-e609-4375-8fb6-d773534ee357" xmlns:ns4="58dc3081-d8a1-4e92-884a-04f6ca0fc63f" targetNamespace="http://schemas.microsoft.com/office/2006/metadata/properties" ma:root="true" ma:fieldsID="77407821a323936f7508852f83004e01" ns2:_="" ns3:_="" ns4:_="">
    <xsd:import namespace="08140982-2f13-4efb-9d41-25b112a23c2d"/>
    <xsd:import namespace="f1959ebb-e609-4375-8fb6-d773534ee357"/>
    <xsd:import namespace="58dc3081-d8a1-4e92-884a-04f6ca0fc63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4:TaxCatchAll" minOccurs="0"/>
                <xsd:element ref="ns2:MediaServiceDateTaken"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140982-2f13-4efb-9d41-25b112a23c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Afbeeldingtags" ma:readOnly="false" ma:fieldId="{5cf76f15-5ced-4ddc-b409-7134ff3c332f}" ma:taxonomyMulti="true" ma:sspId="23b92cde-922f-41e6-b057-b97c56e4b7ba"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1959ebb-e609-4375-8fb6-d773534ee357"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8dc3081-d8a1-4e92-884a-04f6ca0fc63f"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21a0fbb-bbb6-4e96-8f05-fdcd1b29bc84}" ma:internalName="TaxCatchAll" ma:showField="CatchAllData" ma:web="f1959ebb-e609-4375-8fb6-d773534ee3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53F401-EBE1-4658-B484-9BDF8F85652A}">
  <ds:schemaRefs>
    <ds:schemaRef ds:uri="http://schemas.microsoft.com/office/2006/metadata/properties"/>
    <ds:schemaRef ds:uri="http://schemas.microsoft.com/office/infopath/2007/PartnerControls"/>
    <ds:schemaRef ds:uri="08140982-2f13-4efb-9d41-25b112a23c2d"/>
    <ds:schemaRef ds:uri="58dc3081-d8a1-4e92-884a-04f6ca0fc63f"/>
  </ds:schemaRefs>
</ds:datastoreItem>
</file>

<file path=customXml/itemProps2.xml><?xml version="1.0" encoding="utf-8"?>
<ds:datastoreItem xmlns:ds="http://schemas.openxmlformats.org/officeDocument/2006/customXml" ds:itemID="{7CCD7CB4-7875-4D69-90E1-DC3177FA9EBD}">
  <ds:schemaRefs>
    <ds:schemaRef ds:uri="http://schemas.microsoft.com/sharepoint/v3/contenttype/forms"/>
  </ds:schemaRefs>
</ds:datastoreItem>
</file>

<file path=customXml/itemProps3.xml><?xml version="1.0" encoding="utf-8"?>
<ds:datastoreItem xmlns:ds="http://schemas.openxmlformats.org/officeDocument/2006/customXml" ds:itemID="{15A3C697-D5C1-485E-A332-3D41C10D25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140982-2f13-4efb-9d41-25b112a23c2d"/>
    <ds:schemaRef ds:uri="f1959ebb-e609-4375-8fb6-d773534ee357"/>
    <ds:schemaRef ds:uri="58dc3081-d8a1-4e92-884a-04f6ca0fc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23</vt:i4>
      </vt:variant>
    </vt:vector>
  </HeadingPairs>
  <TitlesOfParts>
    <vt:vector size="29" baseType="lpstr">
      <vt:lpstr>Parametertabel</vt:lpstr>
      <vt:lpstr>Kleurtabel</vt:lpstr>
      <vt:lpstr>stochastic_parameters_LN</vt:lpstr>
      <vt:lpstr>stochastic_parameters_LN_add</vt:lpstr>
      <vt:lpstr>stochastic_parameters_LN_add_ol</vt:lpstr>
      <vt:lpstr>overview</vt:lpstr>
      <vt:lpstr>Parametertabel!Print_Area</vt:lpstr>
      <vt:lpstr>Parametertabel!Print_Titles</vt:lpstr>
      <vt:lpstr>T_c_eff</vt:lpstr>
      <vt:lpstr>T_cu_low</vt:lpstr>
      <vt:lpstr>T_cu_mean</vt:lpstr>
      <vt:lpstr>T_drained_undrained</vt:lpstr>
      <vt:lpstr>T_gamma_dry_high</vt:lpstr>
      <vt:lpstr>T_gamma_dry_low</vt:lpstr>
      <vt:lpstr>T_gamma_wet_high</vt:lpstr>
      <vt:lpstr>T_gamma_wet_low</vt:lpstr>
      <vt:lpstr>T_m_low</vt:lpstr>
      <vt:lpstr>T_m_mean</vt:lpstr>
      <vt:lpstr>T_phi_low</vt:lpstr>
      <vt:lpstr>T_phi_mean</vt:lpstr>
      <vt:lpstr>T_POP_low</vt:lpstr>
      <vt:lpstr>T_POP_mean</vt:lpstr>
      <vt:lpstr>T_psi</vt:lpstr>
      <vt:lpstr>T_S_low</vt:lpstr>
      <vt:lpstr>T_S_mean</vt:lpstr>
      <vt:lpstr>T_shansep_param</vt:lpstr>
      <vt:lpstr>T_Vs_high</vt:lpstr>
      <vt:lpstr>T_Vs_low</vt:lpstr>
      <vt:lpstr>TABEL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Arjan Venmans</dc:creator>
  <cp:keywords/>
  <dc:description/>
  <cp:lastModifiedBy>Matthias Hauth</cp:lastModifiedBy>
  <cp:revision/>
  <dcterms:created xsi:type="dcterms:W3CDTF">2023-03-23T14:50:23Z</dcterms:created>
  <dcterms:modified xsi:type="dcterms:W3CDTF">2025-08-11T07:22:03Z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0x010100EC150F9F0870F84BB5F8B27ECD177034</vt:lpwstr>
  </property>
</Properties>
</file>