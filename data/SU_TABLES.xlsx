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hauth\repositories\calibration\data\"/>
    </mc:Choice>
  </mc:AlternateContent>
  <xr:revisionPtr revIDLastSave="0" documentId="13_ncr:1_{AC6FE5A0-4825-4327-8EB1-FB00BB0B2D5B}" xr6:coauthVersionLast="47" xr6:coauthVersionMax="47" xr10:uidLastSave="{00000000-0000-0000-0000-000000000000}"/>
  <bookViews>
    <workbookView xWindow="28680" yWindow="-1950" windowWidth="29040" windowHeight="17520" xr2:uid="{00000000-000D-0000-FFFF-FFFF00000000}"/>
  </bookViews>
  <sheets>
    <sheet name="organic_clay" sheetId="2" r:id="rId1"/>
    <sheet name="clay" sheetId="1" r:id="rId2"/>
    <sheet name="silty_cla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E3" i="3"/>
  <c r="E4" i="3"/>
  <c r="E5" i="3"/>
  <c r="E6" i="3"/>
  <c r="E7" i="3"/>
  <c r="E8" i="3"/>
  <c r="E9" i="3"/>
  <c r="E10" i="3"/>
  <c r="E11" i="3"/>
  <c r="E2" i="3"/>
  <c r="C11" i="3"/>
  <c r="C10" i="3"/>
  <c r="C9" i="3"/>
  <c r="C8" i="3"/>
  <c r="C7" i="3"/>
  <c r="C6" i="3"/>
  <c r="C5" i="3"/>
  <c r="C4" i="3"/>
  <c r="C3" i="3"/>
  <c r="C2" i="3"/>
  <c r="C11" i="1"/>
  <c r="C10" i="1"/>
  <c r="C9" i="1"/>
  <c r="C8" i="1"/>
  <c r="C7" i="1"/>
  <c r="C6" i="1"/>
  <c r="C5" i="1"/>
  <c r="C4" i="1"/>
  <c r="C3" i="1"/>
  <c r="C2" i="1"/>
  <c r="C3" i="2"/>
  <c r="C4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<sst xmlns="http://schemas.openxmlformats.org/spreadsheetml/2006/main" count="12" uniqueCount="4">
  <si>
    <t>EffectiveStress</t>
  </si>
  <si>
    <t>ln(su_mean)</t>
  </si>
  <si>
    <t>ln(su_5)</t>
  </si>
  <si>
    <t>Su_5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</si>
</sst>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3275-0D5F-4481-8029-074526CCCEFE}">
  <dimension ref="A1:E11"/>
  <sheetViews>
    <sheetView tabSelected="1" workbookViewId="0">
      <selection activeCell="W9" sqref="W9"/>
    </sheetView>
  </sheetViews>
  <sheetFormatPr defaultRowHeight="15" x14ac:dyDescent="0.25"/>
  <cols>
    <col min="4" max="4" width="13.7109375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</row>
    <row r="2" spans="1:5" x14ac:dyDescent="0.25">
      <c r="A2">
        <v>1</v>
      </c>
      <c r="B2">
        <v>1.41</v>
      </c>
      <c r="C2">
        <f>EXP(B2)</f>
        <v>4.0959554040711756</v>
      </c>
      <c r="D2">
        <v>1.61</v>
      </c>
      <c r="E2">
        <f>EXP(D2)</f>
        <v>5.0028112278335879</v>
      </c>
    </row>
    <row r="3" spans="1:5" x14ac:dyDescent="0.25">
      <c r="A3">
        <v>5</v>
      </c>
      <c r="B3">
        <v>1.91</v>
      </c>
      <c r="C3">
        <f t="shared" ref="C3:C11" si="0">EXP(B3)</f>
        <v>6.7530887985312864</v>
      </c>
      <c r="D3">
        <v>2.0699999999999998</v>
      </c>
      <c r="E3">
        <f t="shared" ref="E3:E11" si="1">EXP(D3)</f>
        <v>7.9248231178494866</v>
      </c>
    </row>
    <row r="4" spans="1:5" x14ac:dyDescent="0.25">
      <c r="A4">
        <v>10</v>
      </c>
      <c r="B4">
        <v>2.21</v>
      </c>
      <c r="C4">
        <f t="shared" si="0"/>
        <v>9.1157163930403051</v>
      </c>
      <c r="D4">
        <v>2.34</v>
      </c>
      <c r="E4">
        <f t="shared" si="1"/>
        <v>10.381236562731843</v>
      </c>
    </row>
    <row r="5" spans="1:5" x14ac:dyDescent="0.25">
      <c r="A5">
        <v>15</v>
      </c>
      <c r="B5">
        <v>2.42</v>
      </c>
      <c r="C5">
        <f t="shared" si="0"/>
        <v>11.245859314881844</v>
      </c>
      <c r="D5">
        <v>2.54</v>
      </c>
      <c r="E5">
        <f t="shared" si="1"/>
        <v>12.679670970833877</v>
      </c>
    </row>
    <row r="6" spans="1:5" x14ac:dyDescent="0.25">
      <c r="A6">
        <v>20</v>
      </c>
      <c r="B6">
        <v>2.59</v>
      </c>
      <c r="C6">
        <f t="shared" si="0"/>
        <v>13.329771603195772</v>
      </c>
      <c r="D6">
        <v>2.7</v>
      </c>
      <c r="E6">
        <f t="shared" si="1"/>
        <v>14.879731724872837</v>
      </c>
    </row>
    <row r="7" spans="1:5" x14ac:dyDescent="0.25">
      <c r="A7">
        <v>30</v>
      </c>
      <c r="B7">
        <v>2.85</v>
      </c>
      <c r="C7">
        <f t="shared" si="0"/>
        <v>17.287781840567639</v>
      </c>
      <c r="D7">
        <v>2.96</v>
      </c>
      <c r="E7">
        <f t="shared" si="1"/>
        <v>19.297971755502758</v>
      </c>
    </row>
    <row r="8" spans="1:5" x14ac:dyDescent="0.25">
      <c r="A8">
        <v>50</v>
      </c>
      <c r="B8">
        <v>3.23</v>
      </c>
      <c r="C8">
        <f t="shared" si="0"/>
        <v>25.279656970962893</v>
      </c>
      <c r="D8">
        <v>3.323</v>
      </c>
      <c r="E8">
        <f t="shared" si="1"/>
        <v>27.743456206334802</v>
      </c>
    </row>
    <row r="9" spans="1:5" x14ac:dyDescent="0.25">
      <c r="A9">
        <v>100</v>
      </c>
      <c r="B9">
        <v>3.8</v>
      </c>
      <c r="C9">
        <f t="shared" si="0"/>
        <v>44.701184493300815</v>
      </c>
      <c r="D9">
        <v>3.88</v>
      </c>
      <c r="E9">
        <f t="shared" si="1"/>
        <v>48.424215071345174</v>
      </c>
    </row>
    <row r="10" spans="1:5" x14ac:dyDescent="0.25">
      <c r="A10">
        <v>200</v>
      </c>
      <c r="B10">
        <v>4.43</v>
      </c>
      <c r="C10">
        <f t="shared" si="0"/>
        <v>83.931416910268808</v>
      </c>
      <c r="D10">
        <v>4.5</v>
      </c>
      <c r="E10">
        <f t="shared" si="1"/>
        <v>90.017131300521811</v>
      </c>
    </row>
    <row r="11" spans="1:5" x14ac:dyDescent="0.25">
      <c r="A11">
        <v>300</v>
      </c>
      <c r="B11">
        <v>4.8</v>
      </c>
      <c r="C11">
        <f t="shared" si="0"/>
        <v>121.51041751873485</v>
      </c>
      <c r="D11">
        <v>4.88</v>
      </c>
      <c r="E11">
        <f t="shared" si="1"/>
        <v>131.63066388583022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D12" sqref="D12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3</v>
      </c>
      <c r="D1" t="s">
        <v>1</v>
      </c>
    </row>
    <row r="2" spans="1:4" x14ac:dyDescent="0.25">
      <c r="A2">
        <v>1</v>
      </c>
      <c r="B2">
        <v>1.23</v>
      </c>
      <c r="C2">
        <f>EXP(B2)</f>
        <v>3.4212295362896734</v>
      </c>
      <c r="D2">
        <v>1.44</v>
      </c>
    </row>
    <row r="3" spans="1:4" x14ac:dyDescent="0.25">
      <c r="A3">
        <v>5</v>
      </c>
      <c r="B3">
        <v>1.74</v>
      </c>
      <c r="C3">
        <f t="shared" ref="C3:C11" si="0">EXP(B3)</f>
        <v>5.6973434226719908</v>
      </c>
      <c r="D3">
        <v>1.89</v>
      </c>
    </row>
    <row r="4" spans="1:4" x14ac:dyDescent="0.25">
      <c r="A4">
        <v>10</v>
      </c>
      <c r="B4">
        <v>2.04</v>
      </c>
      <c r="C4">
        <f t="shared" si="0"/>
        <v>7.690609198878998</v>
      </c>
      <c r="D4">
        <v>2.17</v>
      </c>
    </row>
    <row r="5" spans="1:4" x14ac:dyDescent="0.25">
      <c r="A5">
        <v>15</v>
      </c>
      <c r="B5">
        <v>2.2599999999999998</v>
      </c>
      <c r="C5">
        <f t="shared" si="0"/>
        <v>9.5830891667643758</v>
      </c>
      <c r="D5">
        <v>2.37</v>
      </c>
    </row>
    <row r="6" spans="1:4" x14ac:dyDescent="0.25">
      <c r="A6">
        <v>20</v>
      </c>
      <c r="B6">
        <v>2.4300000000000002</v>
      </c>
      <c r="C6">
        <f t="shared" si="0"/>
        <v>11.358882080001457</v>
      </c>
      <c r="D6">
        <v>2.5299999999999998</v>
      </c>
    </row>
    <row r="7" spans="1:4" x14ac:dyDescent="0.25">
      <c r="A7">
        <v>30</v>
      </c>
      <c r="B7">
        <v>2.69</v>
      </c>
      <c r="C7">
        <f t="shared" si="0"/>
        <v>14.731675920442569</v>
      </c>
      <c r="D7">
        <v>2.79</v>
      </c>
    </row>
    <row r="8" spans="1:4" x14ac:dyDescent="0.25">
      <c r="A8">
        <v>50</v>
      </c>
      <c r="B8">
        <v>3.07</v>
      </c>
      <c r="C8">
        <f t="shared" si="0"/>
        <v>21.541902675002412</v>
      </c>
      <c r="D8">
        <v>3.15</v>
      </c>
    </row>
    <row r="9" spans="1:4" x14ac:dyDescent="0.25">
      <c r="A9">
        <v>100</v>
      </c>
      <c r="B9">
        <v>3.64</v>
      </c>
      <c r="C9">
        <f t="shared" si="0"/>
        <v>38.09183672539902</v>
      </c>
      <c r="D9">
        <v>3.71</v>
      </c>
    </row>
    <row r="10" spans="1:4" x14ac:dyDescent="0.25">
      <c r="A10">
        <v>200</v>
      </c>
      <c r="B10">
        <v>4.2699999999999996</v>
      </c>
      <c r="C10">
        <f t="shared" si="0"/>
        <v>71.521635619219197</v>
      </c>
      <c r="D10">
        <v>4.33</v>
      </c>
    </row>
    <row r="11" spans="1:4" x14ac:dyDescent="0.25">
      <c r="A11">
        <v>300</v>
      </c>
      <c r="B11">
        <v>4.6500000000000004</v>
      </c>
      <c r="C11">
        <f t="shared" si="0"/>
        <v>104.58498557711422</v>
      </c>
      <c r="D11">
        <v>4.71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0AD7-CF20-4B17-8594-CAF7E7C5F1C7}">
  <dimension ref="A1:E11"/>
  <sheetViews>
    <sheetView workbookViewId="0">
      <selection activeCell="F10" sqref="F10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1</v>
      </c>
    </row>
    <row r="2" spans="1:5" x14ac:dyDescent="0.25">
      <c r="A2">
        <v>1</v>
      </c>
      <c r="B2">
        <v>1.2</v>
      </c>
      <c r="C2">
        <f>EXP(B2)</f>
        <v>3.3201169227365472</v>
      </c>
      <c r="D2">
        <v>1.39</v>
      </c>
      <c r="E2">
        <f>EXP(D2)</f>
        <v>4.0148500529942011</v>
      </c>
    </row>
    <row r="3" spans="1:5" x14ac:dyDescent="0.25">
      <c r="A3">
        <v>5</v>
      </c>
      <c r="B3">
        <v>1.7</v>
      </c>
      <c r="C3">
        <f t="shared" ref="C3:C11" si="0">EXP(B3)</f>
        <v>5.4739473917271999</v>
      </c>
      <c r="D3">
        <v>1.85</v>
      </c>
      <c r="E3">
        <f t="shared" ref="E3:E11" si="1">EXP(D3)</f>
        <v>6.3598195226018319</v>
      </c>
    </row>
    <row r="4" spans="1:5" x14ac:dyDescent="0.25">
      <c r="A4">
        <v>10</v>
      </c>
      <c r="B4">
        <v>2.0099999999999998</v>
      </c>
      <c r="C4">
        <f t="shared" si="0"/>
        <v>7.4633173473191929</v>
      </c>
      <c r="D4">
        <v>2.13</v>
      </c>
      <c r="E4">
        <f t="shared" si="1"/>
        <v>8.4148668114401293</v>
      </c>
    </row>
    <row r="5" spans="1:5" x14ac:dyDescent="0.25">
      <c r="A5">
        <v>15</v>
      </c>
      <c r="B5">
        <v>2.2200000000000002</v>
      </c>
      <c r="C5">
        <f t="shared" si="0"/>
        <v>9.2073308658822519</v>
      </c>
      <c r="D5">
        <v>2.33</v>
      </c>
      <c r="E5">
        <f t="shared" si="1"/>
        <v>10.277941533043448</v>
      </c>
    </row>
    <row r="6" spans="1:5" x14ac:dyDescent="0.25">
      <c r="A6">
        <v>20</v>
      </c>
      <c r="B6">
        <v>2.39</v>
      </c>
      <c r="C6">
        <f t="shared" si="0"/>
        <v>10.913493943041976</v>
      </c>
      <c r="D6">
        <v>2.4900000000000002</v>
      </c>
      <c r="E6">
        <f t="shared" si="1"/>
        <v>12.06127612044472</v>
      </c>
    </row>
    <row r="7" spans="1:5" x14ac:dyDescent="0.25">
      <c r="A7">
        <v>30</v>
      </c>
      <c r="B7">
        <v>2.66</v>
      </c>
      <c r="C7">
        <f t="shared" si="0"/>
        <v>14.296289098677603</v>
      </c>
      <c r="D7">
        <v>2.75</v>
      </c>
      <c r="E7">
        <f t="shared" si="1"/>
        <v>15.642631884188171</v>
      </c>
    </row>
    <row r="8" spans="1:5" x14ac:dyDescent="0.25">
      <c r="A8">
        <v>50</v>
      </c>
      <c r="B8">
        <v>3.04</v>
      </c>
      <c r="C8">
        <f t="shared" si="0"/>
        <v>20.905243235092758</v>
      </c>
      <c r="D8">
        <v>3.11</v>
      </c>
      <c r="E8">
        <f t="shared" si="1"/>
        <v>22.421044400746343</v>
      </c>
    </row>
    <row r="9" spans="1:5" x14ac:dyDescent="0.25">
      <c r="A9">
        <v>100</v>
      </c>
      <c r="B9">
        <v>3.91</v>
      </c>
      <c r="C9">
        <f t="shared" si="0"/>
        <v>49.898951973407868</v>
      </c>
      <c r="D9">
        <v>3.67</v>
      </c>
      <c r="E9">
        <f t="shared" si="1"/>
        <v>39.251905860304497</v>
      </c>
    </row>
    <row r="10" spans="1:5" x14ac:dyDescent="0.25">
      <c r="A10">
        <v>200</v>
      </c>
      <c r="B10">
        <v>4.2300000000000004</v>
      </c>
      <c r="C10">
        <f t="shared" si="0"/>
        <v>68.717232173846497</v>
      </c>
      <c r="D10">
        <v>4.29</v>
      </c>
      <c r="E10">
        <f t="shared" si="1"/>
        <v>72.966468499632811</v>
      </c>
    </row>
    <row r="11" spans="1:5" x14ac:dyDescent="0.25">
      <c r="A11">
        <v>300</v>
      </c>
      <c r="B11">
        <v>4.7300000000000004</v>
      </c>
      <c r="C11">
        <f t="shared" si="0"/>
        <v>113.29556234865991</v>
      </c>
      <c r="D11">
        <v>4.67</v>
      </c>
      <c r="E11">
        <f t="shared" si="1"/>
        <v>106.69774243245082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organic_clay</vt:lpstr>
      <vt:lpstr>clay</vt:lpstr>
      <vt:lpstr>silty_clay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Hauth</dc:creator>
  <cp:lastModifiedBy>Matthias Hauth</cp:lastModifiedBy>
  <dcterms:created xsi:type="dcterms:W3CDTF">2015-06-05T18:17:20Z</dcterms:created>
  <dcterms:modified xsi:type="dcterms:W3CDTF">2025-08-05T13:17:28Z</dcterms:modified>
</cp:coreProperties>
</file>